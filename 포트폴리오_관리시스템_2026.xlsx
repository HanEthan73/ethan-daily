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보유종목" sheetId="1" state="visible" r:id="rId3"/>
    <sheet name="목표달성현황" sheetId="2" state="visible" r:id="rId4"/>
    <sheet name="선제알림지표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<sst xmlns="http://schemas.openxmlformats.org/spreadsheetml/2006/main" count="101" uniqueCount="82">
  <si>
    <r>
      <rPr>
        <b val="true"/>
        <sz val="14"/>
        <color rgb="FFFFFFFF"/>
        <rFont val="DejaVu Sans"/>
        <family val="2"/>
      </rPr>
      <t xml:space="preserve">📊 포트폴리오 현황 — </t>
    </r>
    <r>
      <rPr>
        <b val="true"/>
        <sz val="14"/>
        <color rgb="FFFFFFFF"/>
        <rFont val="DejaVu Sans"/>
        <family val="2"/>
        <charset val="1"/>
      </rPr>
      <t xml:space="preserve">2026.05.15</t>
    </r>
  </si>
  <si>
    <t xml:space="preserve">종목</t>
  </si>
  <si>
    <t xml:space="preserve">티커</t>
  </si>
  <si>
    <t xml:space="preserve">시장</t>
  </si>
  <si>
    <t xml:space="preserve">보유수량</t>
  </si>
  <si>
    <r>
      <rPr>
        <b val="true"/>
        <sz val="11"/>
        <color rgb="FFFFFFFF"/>
        <rFont val="DejaVu Sans"/>
        <family val="2"/>
      </rPr>
      <t xml:space="preserve">평균단가</t>
    </r>
    <r>
      <rPr>
        <b val="true"/>
        <sz val="11"/>
        <color rgb="FFFFFFFF"/>
        <rFont val="DejaVu Sans"/>
        <family val="2"/>
        <charset val="1"/>
      </rPr>
      <t xml:space="preserve">(₩)</t>
    </r>
  </si>
  <si>
    <r>
      <rPr>
        <b val="true"/>
        <sz val="11"/>
        <color rgb="FFFFFFFF"/>
        <rFont val="DejaVu Sans"/>
        <family val="2"/>
      </rPr>
      <t xml:space="preserve">현재단가</t>
    </r>
    <r>
      <rPr>
        <b val="true"/>
        <sz val="11"/>
        <color rgb="FFFFFFFF"/>
        <rFont val="DejaVu Sans"/>
        <family val="2"/>
        <charset val="1"/>
      </rPr>
      <t xml:space="preserve">(₩)</t>
    </r>
  </si>
  <si>
    <r>
      <rPr>
        <b val="true"/>
        <sz val="11"/>
        <color rgb="FFFFFFFF"/>
        <rFont val="DejaVu Sans"/>
        <family val="2"/>
      </rPr>
      <t xml:space="preserve">평가금액</t>
    </r>
    <r>
      <rPr>
        <b val="true"/>
        <sz val="11"/>
        <color rgb="FFFFFFFF"/>
        <rFont val="DejaVu Sans"/>
        <family val="2"/>
        <charset val="1"/>
      </rPr>
      <t xml:space="preserve">(₩)</t>
    </r>
  </si>
  <si>
    <r>
      <rPr>
        <b val="true"/>
        <sz val="11"/>
        <color rgb="FFFFFFFF"/>
        <rFont val="DejaVu Sans"/>
        <family val="2"/>
      </rPr>
      <t xml:space="preserve">손익금액</t>
    </r>
    <r>
      <rPr>
        <b val="true"/>
        <sz val="11"/>
        <color rgb="FFFFFFFF"/>
        <rFont val="DejaVu Sans"/>
        <family val="2"/>
        <charset val="1"/>
      </rPr>
      <t xml:space="preserve">(₩)</t>
    </r>
  </si>
  <si>
    <r>
      <rPr>
        <b val="true"/>
        <sz val="11"/>
        <color rgb="FFFFFFFF"/>
        <rFont val="DejaVu Sans"/>
        <family val="2"/>
      </rPr>
      <t xml:space="preserve">수익률</t>
    </r>
    <r>
      <rPr>
        <b val="true"/>
        <sz val="11"/>
        <color rgb="FFFFFFFF"/>
        <rFont val="DejaVu Sans"/>
        <family val="2"/>
        <charset val="1"/>
      </rPr>
      <t xml:space="preserve">(%)</t>
    </r>
  </si>
  <si>
    <r>
      <rPr>
        <b val="true"/>
        <sz val="11"/>
        <color rgb="FFFFFFFF"/>
        <rFont val="DejaVu Sans"/>
        <family val="2"/>
      </rPr>
      <t xml:space="preserve">비중</t>
    </r>
    <r>
      <rPr>
        <b val="true"/>
        <sz val="11"/>
        <color rgb="FFFFFFFF"/>
        <rFont val="DejaVu Sans"/>
        <family val="2"/>
        <charset val="1"/>
      </rPr>
      <t xml:space="preserve">(%)</t>
    </r>
  </si>
  <si>
    <t xml:space="preserve">상태</t>
  </si>
  <si>
    <t xml:space="preserve">엔비디아</t>
  </si>
  <si>
    <t xml:space="preserve">NVDA</t>
  </si>
  <si>
    <t xml:space="preserve">미국</t>
  </si>
  <si>
    <t xml:space="preserve">✅ 수익</t>
  </si>
  <si>
    <t xml:space="preserve">버티브홀딩스</t>
  </si>
  <si>
    <t xml:space="preserve">VRT</t>
  </si>
  <si>
    <t xml:space="preserve">현대자동차</t>
  </si>
  <si>
    <t xml:space="preserve">005380</t>
  </si>
  <si>
    <t xml:space="preserve">한국</t>
  </si>
  <si>
    <t xml:space="preserve">인텔</t>
  </si>
  <si>
    <t xml:space="preserve">INTC</t>
  </si>
  <si>
    <r>
      <rPr>
        <sz val="10"/>
        <rFont val="Arial"/>
        <family val="0"/>
        <charset val="1"/>
      </rPr>
      <t xml:space="preserve">SK</t>
    </r>
    <r>
      <rPr>
        <sz val="10"/>
        <rFont val="DejaVu Sans"/>
        <family val="2"/>
      </rPr>
      <t xml:space="preserve">하이닉스</t>
    </r>
  </si>
  <si>
    <t xml:space="preserve">000660</t>
  </si>
  <si>
    <t xml:space="preserve">MicroStrategy 2x</t>
  </si>
  <si>
    <t xml:space="preserve">MSTX</t>
  </si>
  <si>
    <t xml:space="preserve">🔴 손실</t>
  </si>
  <si>
    <t xml:space="preserve">AST SpaceMobile</t>
  </si>
  <si>
    <t xml:space="preserve">ASTS</t>
  </si>
  <si>
    <t xml:space="preserve">아마텍스바이오</t>
  </si>
  <si>
    <t xml:space="preserve">AMTX</t>
  </si>
  <si>
    <t xml:space="preserve">합계</t>
  </si>
  <si>
    <t xml:space="preserve">🎯 투자 목표 달성 현황</t>
  </si>
  <si>
    <t xml:space="preserve">총 투자원금</t>
  </si>
  <si>
    <t xml:space="preserve">현재 총 평가금액</t>
  </si>
  <si>
    <t xml:space="preserve">현재 손익</t>
  </si>
  <si>
    <t xml:space="preserve">현재 수익률</t>
  </si>
  <si>
    <t xml:space="preserve">최종 목표금액</t>
  </si>
  <si>
    <t xml:space="preserve">목표까지 남은 금액</t>
  </si>
  <si>
    <t xml:space="preserve">목표 달성률</t>
  </si>
  <si>
    <t xml:space="preserve">목표 달성 기한</t>
  </si>
  <si>
    <t xml:space="preserve">2027.12.31</t>
  </si>
  <si>
    <r>
      <rPr>
        <b val="true"/>
        <sz val="13"/>
        <color rgb="FFFFFFFF"/>
        <rFont val="DejaVu Sans"/>
        <family val="2"/>
      </rPr>
      <t xml:space="preserve">⚠️ 시장 악화 선제 알림 </t>
    </r>
    <r>
      <rPr>
        <b val="true"/>
        <sz val="13"/>
        <color rgb="FFFFFFFF"/>
        <rFont val="DejaVu Sans"/>
        <family val="2"/>
        <charset val="1"/>
      </rPr>
      <t xml:space="preserve">8</t>
    </r>
    <r>
      <rPr>
        <b val="true"/>
        <sz val="13"/>
        <color rgb="FFFFFFFF"/>
        <rFont val="DejaVu Sans"/>
        <family val="2"/>
      </rPr>
      <t xml:space="preserve">대 지표</t>
    </r>
  </si>
  <si>
    <t xml:space="preserve">지표</t>
  </si>
  <si>
    <t xml:space="preserve">기준값</t>
  </si>
  <si>
    <r>
      <rPr>
        <b val="true"/>
        <sz val="11"/>
        <color rgb="FFFFFFFF"/>
        <rFont val="DejaVu Sans"/>
        <family val="2"/>
      </rPr>
      <t xml:space="preserve">현재값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참고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</si>
  <si>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설명</t>
  </si>
  <si>
    <t xml:space="preserve">VIX</t>
  </si>
  <si>
    <t xml:space="preserve">≥ 25</t>
  </si>
  <si>
    <t xml:space="preserve">~17</t>
  </si>
  <si>
    <t xml:space="preserve">🟢 안전</t>
  </si>
  <si>
    <r>
      <rPr>
        <sz val="10"/>
        <rFont val="DejaVu Sans"/>
        <family val="2"/>
      </rPr>
      <t xml:space="preserve">공포지수</t>
    </r>
    <r>
      <rPr>
        <sz val="10"/>
        <rFont val="DejaVu Sans"/>
        <family val="2"/>
        <charset val="1"/>
      </rPr>
      <t xml:space="preserve">. 25 </t>
    </r>
    <r>
      <rPr>
        <sz val="10"/>
        <rFont val="DejaVu Sans"/>
        <family val="2"/>
      </rPr>
      <t xml:space="preserve">이상이면 시장 과공포</t>
    </r>
  </si>
  <si>
    <r>
      <rPr>
        <sz val="10"/>
        <rFont val="Arial"/>
        <family val="0"/>
        <charset val="1"/>
      </rPr>
      <t xml:space="preserve">S&amp;P500 200</t>
    </r>
    <r>
      <rPr>
        <sz val="10"/>
        <rFont val="DejaVu Sans"/>
        <family val="2"/>
      </rPr>
      <t xml:space="preserve">일선</t>
    </r>
  </si>
  <si>
    <t xml:space="preserve">하향이탈</t>
  </si>
  <si>
    <t xml:space="preserve">유지중</t>
  </si>
  <si>
    <r>
      <rPr>
        <sz val="10"/>
        <rFont val="DejaVu Sans"/>
        <family val="2"/>
      </rPr>
      <t xml:space="preserve">장기 추세선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이탈 시 약세장 신호</t>
    </r>
  </si>
  <si>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년 국채금리</t>
    </r>
  </si>
  <si>
    <t xml:space="preserve">≥ 4.5%</t>
  </si>
  <si>
    <t xml:space="preserve">~4.3%</t>
  </si>
  <si>
    <t xml:space="preserve">금리 급등 시 주식 밸류 하락</t>
  </si>
  <si>
    <t xml:space="preserve">연준 매파 발언</t>
  </si>
  <si>
    <t xml:space="preserve">금리인상 시그널</t>
  </si>
  <si>
    <t xml:space="preserve">동결유지</t>
  </si>
  <si>
    <r>
      <rPr>
        <sz val="10"/>
        <rFont val="Arial"/>
        <family val="0"/>
        <charset val="1"/>
      </rPr>
      <t xml:space="preserve">FOMC </t>
    </r>
    <r>
      <rPr>
        <sz val="10"/>
        <rFont val="DejaVu Sans"/>
        <family val="2"/>
      </rPr>
      <t xml:space="preserve">성명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파월 발언 모니터링</t>
    </r>
  </si>
  <si>
    <t xml:space="preserve">지정학 리스크</t>
  </si>
  <si>
    <t xml:space="preserve">급등</t>
  </si>
  <si>
    <t xml:space="preserve">호르무즈 주시</t>
  </si>
  <si>
    <t xml:space="preserve">🟡 주의</t>
  </si>
  <si>
    <r>
      <rPr>
        <sz val="10"/>
        <rFont val="DejaVu Sans"/>
        <family val="2"/>
      </rPr>
      <t xml:space="preserve">전쟁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무역전쟁 재점화</t>
    </r>
  </si>
  <si>
    <r>
      <rPr>
        <sz val="10"/>
        <rFont val="Arial"/>
        <family val="0"/>
        <charset val="1"/>
      </rPr>
      <t xml:space="preserve">M2 </t>
    </r>
    <r>
      <rPr>
        <sz val="10"/>
        <rFont val="DejaVu Sans"/>
        <family val="2"/>
      </rPr>
      <t xml:space="preserve">통화량</t>
    </r>
  </si>
  <si>
    <t xml:space="preserve">급감</t>
  </si>
  <si>
    <t xml:space="preserve">완만 증가</t>
  </si>
  <si>
    <t xml:space="preserve">유동성 위축 여부</t>
  </si>
  <si>
    <t xml:space="preserve">나스닥 연속 하락</t>
  </si>
  <si>
    <r>
      <rPr>
        <sz val="10"/>
        <rFont val="Arial"/>
        <family val="0"/>
        <charset val="1"/>
      </rPr>
      <t xml:space="preserve">≥ -5% </t>
    </r>
    <r>
      <rPr>
        <sz val="10"/>
        <rFont val="DejaVu Sans"/>
        <family val="2"/>
      </rPr>
      <t xml:space="preserve">연속</t>
    </r>
  </si>
  <si>
    <t xml:space="preserve">반등 중</t>
  </si>
  <si>
    <t xml:space="preserve">기술주 연속 급락 여부</t>
  </si>
  <si>
    <r>
      <rPr>
        <sz val="10"/>
        <rFont val="Arial"/>
        <family val="0"/>
        <charset val="1"/>
      </rPr>
      <t xml:space="preserve">USD/KRW </t>
    </r>
    <r>
      <rPr>
        <sz val="10"/>
        <rFont val="DejaVu Sans"/>
        <family val="2"/>
      </rPr>
      <t xml:space="preserve">환율</t>
    </r>
  </si>
  <si>
    <r>
      <rPr>
        <sz val="10"/>
        <rFont val="Arial"/>
        <family val="0"/>
        <charset val="1"/>
      </rPr>
      <t xml:space="preserve">≥ 1,450</t>
    </r>
    <r>
      <rPr>
        <sz val="10"/>
        <rFont val="DejaVu Sans"/>
        <family val="2"/>
      </rPr>
      <t xml:space="preserve">원</t>
    </r>
  </si>
  <si>
    <r>
      <rPr>
        <sz val="10"/>
        <rFont val="Arial"/>
        <family val="0"/>
        <charset val="1"/>
      </rPr>
      <t xml:space="preserve">~1,490</t>
    </r>
    <r>
      <rPr>
        <sz val="10"/>
        <rFont val="DejaVu Sans"/>
        <family val="2"/>
      </rPr>
      <t xml:space="preserve">원</t>
    </r>
  </si>
  <si>
    <t xml:space="preserve">원화 급약세는 외국인 이탈 신호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</si>
</sst>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"/>
    <numFmt numFmtId="166" formatCode="#,##0"/>
    <numFmt numFmtId="167" formatCode="0.00%"/>
    <numFmt numFmtId="168" formatCode="0.0%"/>
    <numFmt numFmtId="169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b val="true"/>
      <sz val="14"/>
      <color rgb="FFFFFFFF"/>
      <name val="DejaVu Sans"/>
      <family val="2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DejaVu Sans"/>
      <family val="2"/>
      <charset val="1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DejaVu Sans"/>
      <family val="2"/>
    </font>
    <font>
      <b val="true"/>
      <sz val="11"/>
      <name val="DejaVu Sans"/>
      <family val="2"/>
    </font>
    <font>
      <sz val="11"/>
      <name val="Arial"/>
      <family val="0"/>
      <charset val="1"/>
    </font>
    <font>
      <b val="true"/>
      <sz val="13"/>
      <color rgb="FFFFFFFF"/>
      <name val="DejaVu Sans"/>
      <family val="2"/>
      <charset val="1"/>
    </font>
    <font>
      <sz val="10"/>
      <name val="DejaVu Sans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"/>
    <col collapsed="false" customWidth="true" hidden="false" outlineLevel="0" max="3" min="3" style="1" width="6"/>
    <col collapsed="false" customWidth="true" hidden="false" outlineLevel="0" max="4" min="4" style="1" width="9"/>
    <col collapsed="false" customWidth="true" hidden="false" outlineLevel="0" max="8" min="5" style="1" width="13"/>
    <col collapsed="false" customWidth="true" hidden="false" outlineLevel="0" max="9" min="9" style="1" width="10"/>
    <col collapsed="false" customWidth="true" hidden="false" outlineLevel="0" max="10" min="10" style="1" width="8"/>
    <col collapsed="false" customWidth="true" hidden="false" outlineLevel="0" max="11" min="11" style="1" width="1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customFormat="false" ht="19.5" hidden="false" customHeight="true" outlineLevel="0" collapsed="false">
      <c r="A3" s="4" t="s">
        <v>12</v>
      </c>
      <c r="B3" s="5" t="s">
        <v>13</v>
      </c>
      <c r="C3" s="4" t="s">
        <v>14</v>
      </c>
      <c r="D3" s="6" t="n">
        <v>32.443</v>
      </c>
      <c r="E3" s="7" t="n">
        <v>314645</v>
      </c>
      <c r="F3" s="7" t="n">
        <v>357019</v>
      </c>
      <c r="G3" s="7" t="n">
        <v>11577881</v>
      </c>
      <c r="H3" s="7" t="n">
        <v>1369839</v>
      </c>
      <c r="I3" s="8" t="n">
        <v>13.41</v>
      </c>
      <c r="J3" s="9" t="n">
        <f aca="false">G3/34149092</f>
        <v>0.339039204907703</v>
      </c>
      <c r="K3" s="4" t="s">
        <v>15</v>
      </c>
    </row>
    <row r="4" customFormat="false" ht="19.5" hidden="false" customHeight="true" outlineLevel="0" collapsed="false">
      <c r="A4" s="4" t="s">
        <v>16</v>
      </c>
      <c r="B4" s="5" t="s">
        <v>17</v>
      </c>
      <c r="C4" s="4" t="s">
        <v>14</v>
      </c>
      <c r="D4" s="6" t="n">
        <v>11</v>
      </c>
      <c r="E4" s="7" t="n">
        <v>508866</v>
      </c>
      <c r="F4" s="7" t="n">
        <v>564005</v>
      </c>
      <c r="G4" s="7" t="n">
        <v>6204053</v>
      </c>
      <c r="H4" s="7" t="n">
        <v>608724</v>
      </c>
      <c r="I4" s="8" t="n">
        <v>10.87</v>
      </c>
      <c r="J4" s="9" t="n">
        <f aca="false">G4/34149092</f>
        <v>0.181675489351225</v>
      </c>
      <c r="K4" s="4" t="s">
        <v>15</v>
      </c>
    </row>
    <row r="5" customFormat="false" ht="19.5" hidden="false" customHeight="true" outlineLevel="0" collapsed="false">
      <c r="A5" s="4" t="s">
        <v>18</v>
      </c>
      <c r="B5" s="5" t="s">
        <v>19</v>
      </c>
      <c r="C5" s="4" t="s">
        <v>20</v>
      </c>
      <c r="D5" s="6" t="n">
        <v>8</v>
      </c>
      <c r="E5" s="7" t="n">
        <v>604875</v>
      </c>
      <c r="F5" s="7" t="n">
        <v>762000</v>
      </c>
      <c r="G5" s="7" t="n">
        <v>6096000</v>
      </c>
      <c r="H5" s="7" t="n">
        <v>1257000</v>
      </c>
      <c r="I5" s="8" t="n">
        <v>25.97</v>
      </c>
      <c r="J5" s="9" t="n">
        <f aca="false">G5/34149092</f>
        <v>0.178511334942668</v>
      </c>
      <c r="K5" s="4" t="s">
        <v>15</v>
      </c>
    </row>
    <row r="6" customFormat="false" ht="19.5" hidden="false" customHeight="true" outlineLevel="0" collapsed="false">
      <c r="A6" s="4" t="s">
        <v>21</v>
      </c>
      <c r="B6" s="5" t="s">
        <v>22</v>
      </c>
      <c r="C6" s="4" t="s">
        <v>14</v>
      </c>
      <c r="D6" s="6" t="n">
        <v>25</v>
      </c>
      <c r="E6" s="7" t="n">
        <v>161035</v>
      </c>
      <c r="F6" s="7" t="n">
        <v>169946</v>
      </c>
      <c r="G6" s="7" t="n">
        <v>4248646</v>
      </c>
      <c r="H6" s="7" t="n">
        <v>222759</v>
      </c>
      <c r="I6" s="8" t="n">
        <v>5.53</v>
      </c>
      <c r="J6" s="9" t="n">
        <f aca="false">G6/34149092</f>
        <v>0.124414611082485</v>
      </c>
      <c r="K6" s="4" t="s">
        <v>15</v>
      </c>
    </row>
    <row r="7" customFormat="false" ht="19.5" hidden="false" customHeight="true" outlineLevel="0" collapsed="false">
      <c r="A7" s="5" t="s">
        <v>23</v>
      </c>
      <c r="B7" s="5" t="s">
        <v>24</v>
      </c>
      <c r="C7" s="4" t="s">
        <v>20</v>
      </c>
      <c r="D7" s="6" t="n">
        <v>2</v>
      </c>
      <c r="E7" s="7" t="n">
        <v>1857666</v>
      </c>
      <c r="F7" s="7" t="n">
        <v>1968000</v>
      </c>
      <c r="G7" s="7" t="n">
        <v>3936000</v>
      </c>
      <c r="H7" s="7" t="n">
        <v>220666</v>
      </c>
      <c r="I7" s="8" t="n">
        <v>5.93</v>
      </c>
      <c r="J7" s="9" t="n">
        <f aca="false">G7/34149092</f>
        <v>0.115259287128337</v>
      </c>
      <c r="K7" s="4" t="s">
        <v>15</v>
      </c>
    </row>
    <row r="8" customFormat="false" ht="19.5" hidden="false" customHeight="true" outlineLevel="0" collapsed="false">
      <c r="A8" s="10" t="s">
        <v>25</v>
      </c>
      <c r="B8" s="10" t="s">
        <v>26</v>
      </c>
      <c r="C8" s="11" t="s">
        <v>14</v>
      </c>
      <c r="D8" s="12" t="n">
        <v>17</v>
      </c>
      <c r="E8" s="13" t="n">
        <v>257402</v>
      </c>
      <c r="F8" s="13" t="n">
        <v>54331</v>
      </c>
      <c r="G8" s="13" t="n">
        <v>923627</v>
      </c>
      <c r="H8" s="13" t="n">
        <v>-3452193</v>
      </c>
      <c r="I8" s="14" t="n">
        <v>-78.89</v>
      </c>
      <c r="J8" s="15" t="n">
        <f aca="false">G8/34149092</f>
        <v>0.0270468977623182</v>
      </c>
      <c r="K8" s="11" t="s">
        <v>27</v>
      </c>
    </row>
    <row r="9" customFormat="false" ht="19.5" hidden="false" customHeight="true" outlineLevel="0" collapsed="false">
      <c r="A9" s="10" t="s">
        <v>28</v>
      </c>
      <c r="B9" s="10" t="s">
        <v>29</v>
      </c>
      <c r="C9" s="11" t="s">
        <v>14</v>
      </c>
      <c r="D9" s="12" t="n">
        <v>8</v>
      </c>
      <c r="E9" s="13" t="n">
        <v>139599</v>
      </c>
      <c r="F9" s="13" t="n">
        <v>112384</v>
      </c>
      <c r="G9" s="13" t="n">
        <v>899072</v>
      </c>
      <c r="H9" s="13" t="n">
        <v>-217343</v>
      </c>
      <c r="I9" s="14" t="n">
        <v>-19.46</v>
      </c>
      <c r="J9" s="15" t="n">
        <f aca="false">G9/34149092</f>
        <v>0.0263278449687623</v>
      </c>
      <c r="K9" s="11" t="s">
        <v>27</v>
      </c>
    </row>
    <row r="10" customFormat="false" ht="19.5" hidden="false" customHeight="true" outlineLevel="0" collapsed="false">
      <c r="A10" s="11" t="s">
        <v>30</v>
      </c>
      <c r="B10" s="10" t="s">
        <v>31</v>
      </c>
      <c r="C10" s="11" t="s">
        <v>20</v>
      </c>
      <c r="D10" s="12"/>
      <c r="E10" s="13"/>
      <c r="F10" s="13"/>
      <c r="G10" s="13" t="n">
        <v>86400</v>
      </c>
      <c r="H10" s="13" t="n">
        <v>-290120</v>
      </c>
      <c r="I10" s="14" t="n">
        <v>-76.9</v>
      </c>
      <c r="J10" s="15" t="n">
        <f aca="false">G10/34149092</f>
        <v>0.00253008191257325</v>
      </c>
      <c r="K10" s="11" t="s">
        <v>27</v>
      </c>
    </row>
    <row r="11" customFormat="false" ht="21.75" hidden="false" customHeight="true" outlineLevel="0" collapsed="false">
      <c r="A11" s="16" t="s">
        <v>32</v>
      </c>
      <c r="B11" s="16"/>
      <c r="C11" s="16"/>
      <c r="D11" s="16"/>
      <c r="E11" s="16"/>
      <c r="F11" s="16"/>
      <c r="G11" s="17" t="n">
        <v>34149092</v>
      </c>
      <c r="H11" s="17" t="n">
        <f aca="false">SUM(H3:H10)</f>
        <v>-280668</v>
      </c>
      <c r="I11" s="18" t="n">
        <f aca="false">H11/34253471</f>
        <v>-0.00819385574092623</v>
      </c>
      <c r="J11" s="19" t="n">
        <v>1</v>
      </c>
      <c r="K11" s="20"/>
    </row>
  </sheetData>
  <mergeCells count="2">
    <mergeCell ref="A1:K1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</cols>
  <sheetData>
    <row r="1" customFormat="false" ht="30" hidden="false" customHeight="true" outlineLevel="0" collapsed="false">
      <c r="A1" s="21" t="s">
        <v>33</v>
      </c>
      <c r="B1" s="21"/>
      <c r="C1" s="21"/>
      <c r="D1" s="21"/>
    </row>
    <row r="2" customFormat="false" ht="21.75" hidden="false" customHeight="true" outlineLevel="0" collapsed="false">
      <c r="A2" s="22" t="s">
        <v>34</v>
      </c>
      <c r="B2" s="23" t="n">
        <v>34253471</v>
      </c>
    </row>
    <row r="3" customFormat="false" ht="21.75" hidden="false" customHeight="true" outlineLevel="0" collapsed="false">
      <c r="A3" s="22" t="s">
        <v>35</v>
      </c>
      <c r="B3" s="23" t="n">
        <v>34149092</v>
      </c>
    </row>
    <row r="4" customFormat="false" ht="21.75" hidden="false" customHeight="true" outlineLevel="0" collapsed="false">
      <c r="A4" s="22" t="s">
        <v>36</v>
      </c>
      <c r="B4" s="23" t="n">
        <v>-109384</v>
      </c>
    </row>
    <row r="5" customFormat="false" ht="21.75" hidden="false" customHeight="true" outlineLevel="0" collapsed="false">
      <c r="A5" s="22" t="s">
        <v>37</v>
      </c>
      <c r="B5" s="24" t="n">
        <v>-0.0031</v>
      </c>
    </row>
    <row r="6" customFormat="false" ht="21.75" hidden="false" customHeight="true" outlineLevel="0" collapsed="false">
      <c r="A6" s="25" t="s">
        <v>38</v>
      </c>
      <c r="B6" s="26" t="n">
        <v>200000000</v>
      </c>
    </row>
    <row r="7" customFormat="false" ht="21.75" hidden="false" customHeight="true" outlineLevel="0" collapsed="false">
      <c r="A7" s="22" t="s">
        <v>39</v>
      </c>
      <c r="B7" s="23" t="n">
        <f aca="false">B6-B2</f>
        <v>165746529</v>
      </c>
    </row>
    <row r="8" customFormat="false" ht="21.75" hidden="false" customHeight="true" outlineLevel="0" collapsed="false">
      <c r="A8" s="25" t="s">
        <v>40</v>
      </c>
      <c r="B8" s="27" t="n">
        <f aca="false">B3/B6</f>
        <v>0.17074546</v>
      </c>
    </row>
    <row r="9" customFormat="false" ht="21.75" hidden="false" customHeight="true" outlineLevel="0" collapsed="false">
      <c r="A9" s="22" t="s">
        <v>41</v>
      </c>
      <c r="B9" s="28" t="s">
        <v>42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28"/>
  </cols>
  <sheetData>
    <row r="1" customFormat="false" ht="30" hidden="false" customHeight="true" outlineLevel="0" collapsed="false">
      <c r="A1" s="21" t="s">
        <v>43</v>
      </c>
      <c r="B1" s="21"/>
      <c r="C1" s="21"/>
      <c r="D1" s="21"/>
      <c r="E1" s="21"/>
    </row>
    <row r="2" customFormat="false" ht="21.75" hidden="false" customHeight="true" outlineLevel="0" collapsed="false">
      <c r="A2" s="3" t="s">
        <v>44</v>
      </c>
      <c r="B2" s="3" t="s">
        <v>45</v>
      </c>
      <c r="C2" s="3" t="s">
        <v>46</v>
      </c>
      <c r="D2" s="3" t="s">
        <v>11</v>
      </c>
      <c r="E2" s="3" t="s">
        <v>47</v>
      </c>
    </row>
    <row r="3" customFormat="false" ht="19.5" hidden="false" customHeight="true" outlineLevel="0" collapsed="false">
      <c r="A3" s="29" t="s">
        <v>48</v>
      </c>
      <c r="B3" s="29" t="s">
        <v>49</v>
      </c>
      <c r="C3" s="29" t="s">
        <v>50</v>
      </c>
      <c r="D3" s="30" t="s">
        <v>51</v>
      </c>
      <c r="E3" s="30" t="s">
        <v>52</v>
      </c>
    </row>
    <row r="4" customFormat="false" ht="19.5" hidden="false" customHeight="true" outlineLevel="0" collapsed="false">
      <c r="A4" s="29" t="s">
        <v>53</v>
      </c>
      <c r="B4" s="30" t="s">
        <v>54</v>
      </c>
      <c r="C4" s="30" t="s">
        <v>55</v>
      </c>
      <c r="D4" s="30" t="s">
        <v>51</v>
      </c>
      <c r="E4" s="30" t="s">
        <v>56</v>
      </c>
    </row>
    <row r="5" customFormat="false" ht="19.5" hidden="false" customHeight="true" outlineLevel="0" collapsed="false">
      <c r="A5" s="29" t="s">
        <v>57</v>
      </c>
      <c r="B5" s="29" t="s">
        <v>58</v>
      </c>
      <c r="C5" s="29" t="s">
        <v>59</v>
      </c>
      <c r="D5" s="30" t="s">
        <v>51</v>
      </c>
      <c r="E5" s="30" t="s">
        <v>60</v>
      </c>
    </row>
    <row r="6" customFormat="false" ht="19.5" hidden="false" customHeight="true" outlineLevel="0" collapsed="false">
      <c r="A6" s="30" t="s">
        <v>61</v>
      </c>
      <c r="B6" s="30" t="s">
        <v>62</v>
      </c>
      <c r="C6" s="30" t="s">
        <v>63</v>
      </c>
      <c r="D6" s="30" t="s">
        <v>51</v>
      </c>
      <c r="E6" s="29" t="s">
        <v>64</v>
      </c>
    </row>
    <row r="7" customFormat="false" ht="19.5" hidden="false" customHeight="true" outlineLevel="0" collapsed="false">
      <c r="A7" s="31" t="s">
        <v>65</v>
      </c>
      <c r="B7" s="31" t="s">
        <v>66</v>
      </c>
      <c r="C7" s="31" t="s">
        <v>67</v>
      </c>
      <c r="D7" s="31" t="s">
        <v>68</v>
      </c>
      <c r="E7" s="31" t="s">
        <v>69</v>
      </c>
    </row>
    <row r="8" customFormat="false" ht="19.5" hidden="false" customHeight="true" outlineLevel="0" collapsed="false">
      <c r="A8" s="29" t="s">
        <v>70</v>
      </c>
      <c r="B8" s="30" t="s">
        <v>71</v>
      </c>
      <c r="C8" s="30" t="s">
        <v>72</v>
      </c>
      <c r="D8" s="30" t="s">
        <v>51</v>
      </c>
      <c r="E8" s="30" t="s">
        <v>73</v>
      </c>
    </row>
    <row r="9" customFormat="false" ht="19.5" hidden="false" customHeight="true" outlineLevel="0" collapsed="false">
      <c r="A9" s="30" t="s">
        <v>74</v>
      </c>
      <c r="B9" s="29" t="s">
        <v>75</v>
      </c>
      <c r="C9" s="30" t="s">
        <v>76</v>
      </c>
      <c r="D9" s="30" t="s">
        <v>51</v>
      </c>
      <c r="E9" s="30" t="s">
        <v>77</v>
      </c>
    </row>
    <row r="10" customFormat="false" ht="19.5" hidden="false" customHeight="true" outlineLevel="0" collapsed="false">
      <c r="A10" s="32" t="s">
        <v>78</v>
      </c>
      <c r="B10" s="32" t="s">
        <v>79</v>
      </c>
      <c r="C10" s="32" t="s">
        <v>80</v>
      </c>
      <c r="D10" s="31" t="s">
        <v>68</v>
      </c>
      <c r="E10" s="31" t="s">
        <v>81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2026-05-15T01:26:43Z</dcterms:created>
  <dc:creator>openpyxl</dc:creator>
  <dc:description/>
  <dc:language>en-US</dc:language>
  <cp:lastModifiedBy/>
  <dcterms:modified xsi:type="dcterms:W3CDTF">2026-05-15T01:26:56Z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