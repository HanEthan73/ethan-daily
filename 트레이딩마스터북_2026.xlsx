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보유종목현황" sheetId="1" state="visible" r:id="rId3"/>
    <sheet name="2_자동매수세팅" sheetId="2" state="visible" r:id="rId4"/>
    <sheet name="3_지지선허공분석" sheetId="3" state="visible" r:id="rId5"/>
    <sheet name="4_골든크로스기준" sheetId="4" state="visible" r:id="rId6"/>
    <sheet name="5_목표달성현황" sheetId="5" state="visible" r:id="rId7"/>
    <sheet name="6_알림스케줄" sheetId="6" state="visible" r:id="rId8"/>
    <sheet name="7_세금절세전략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<sst xmlns="http://schemas.openxmlformats.org/spreadsheetml/2006/main" count="377" uniqueCount="250">
  <si>
    <r>
      <rPr>
        <b val="true"/>
        <sz val="13"/>
        <color rgb="FFFFFFFF"/>
        <rFont val="DejaVu Sans"/>
        <family val="2"/>
      </rPr>
      <t xml:space="preserve">📊 보유종목 현황 — </t>
    </r>
    <r>
      <rPr>
        <b val="true"/>
        <sz val="13"/>
        <color rgb="FFFFFFFF"/>
        <rFont val="DejaVu Sans"/>
        <family val="2"/>
        <charset val="1"/>
      </rPr>
      <t xml:space="preserve">2026.05.15 </t>
    </r>
    <r>
      <rPr>
        <b val="true"/>
        <sz val="13"/>
        <color rgb="FFFFFFFF"/>
        <rFont val="DejaVu Sans"/>
        <family val="2"/>
      </rPr>
      <t xml:space="preserve">기준 </t>
    </r>
    <r>
      <rPr>
        <b val="true"/>
        <sz val="13"/>
        <color rgb="FFFFFFFF"/>
        <rFont val="DejaVu Sans"/>
        <family val="2"/>
        <charset val="1"/>
      </rPr>
      <t xml:space="preserve">(</t>
    </r>
    <r>
      <rPr>
        <b val="true"/>
        <sz val="13"/>
        <color rgb="FFFFFFFF"/>
        <rFont val="DejaVu Sans"/>
        <family val="2"/>
      </rPr>
      <t xml:space="preserve">현재가 수동 업데이트</t>
    </r>
    <r>
      <rPr>
        <b val="true"/>
        <sz val="13"/>
        <color rgb="FFFFFFFF"/>
        <rFont val="DejaVu Sans"/>
        <family val="2"/>
        <charset val="1"/>
      </rPr>
      <t xml:space="preserve">)</t>
    </r>
  </si>
  <si>
    <t xml:space="preserve">종목명</t>
  </si>
  <si>
    <t xml:space="preserve">티커</t>
  </si>
  <si>
    <t xml:space="preserve">시장</t>
  </si>
  <si>
    <t xml:space="preserve">보유수량</t>
  </si>
  <si>
    <r>
      <rPr>
        <b val="true"/>
        <sz val="10"/>
        <color rgb="FFFFFFFF"/>
        <rFont val="DejaVu Sans"/>
        <family val="2"/>
      </rPr>
      <t xml:space="preserve">평균단가</t>
    </r>
    <r>
      <rPr>
        <b val="true"/>
        <sz val="10"/>
        <color rgb="FFFFFFFF"/>
        <rFont val="DejaVu Sans"/>
        <family val="2"/>
        <charset val="1"/>
      </rPr>
      <t xml:space="preserve">(₩)</t>
    </r>
  </si>
  <si>
    <r>
      <rPr>
        <b val="true"/>
        <sz val="10"/>
        <color rgb="FFFFFFFF"/>
        <rFont val="DejaVu Sans"/>
        <family val="2"/>
      </rPr>
      <t xml:space="preserve">현재가</t>
    </r>
    <r>
      <rPr>
        <b val="true"/>
        <sz val="10"/>
        <color rgb="FFFFFFFF"/>
        <rFont val="Arial"/>
        <family val="0"/>
        <charset val="1"/>
      </rPr>
      <t xml:space="preserve">(₩)</t>
    </r>
  </si>
  <si>
    <r>
      <rPr>
        <b val="true"/>
        <sz val="10"/>
        <color rgb="FFFFFFFF"/>
        <rFont val="DejaVu Sans"/>
        <family val="2"/>
      </rPr>
      <t xml:space="preserve">평가금액</t>
    </r>
    <r>
      <rPr>
        <b val="true"/>
        <sz val="10"/>
        <color rgb="FFFFFFFF"/>
        <rFont val="DejaVu Sans"/>
        <family val="2"/>
        <charset val="1"/>
      </rPr>
      <t xml:space="preserve">(₩)</t>
    </r>
  </si>
  <si>
    <r>
      <rPr>
        <b val="true"/>
        <sz val="10"/>
        <color rgb="FFFFFFFF"/>
        <rFont val="DejaVu Sans"/>
        <family val="2"/>
      </rPr>
      <t xml:space="preserve">손익금액</t>
    </r>
    <r>
      <rPr>
        <b val="true"/>
        <sz val="10"/>
        <color rgb="FFFFFFFF"/>
        <rFont val="DejaVu Sans"/>
        <family val="2"/>
        <charset val="1"/>
      </rPr>
      <t xml:space="preserve">(₩)</t>
    </r>
  </si>
  <si>
    <r>
      <rPr>
        <b val="true"/>
        <sz val="10"/>
        <color rgb="FFFFFFFF"/>
        <rFont val="DejaVu Sans"/>
        <family val="2"/>
      </rPr>
      <t xml:space="preserve">수익률</t>
    </r>
    <r>
      <rPr>
        <b val="true"/>
        <sz val="10"/>
        <color rgb="FFFFFFFF"/>
        <rFont val="DejaVu Sans"/>
        <family val="2"/>
        <charset val="1"/>
      </rPr>
      <t xml:space="preserve">(%)</t>
    </r>
  </si>
  <si>
    <t xml:space="preserve">자동매수까지</t>
  </si>
  <si>
    <r>
      <rPr>
        <b val="true"/>
        <sz val="10"/>
        <color rgb="FFFFFFFF"/>
        <rFont val="DejaVu Sans"/>
        <family val="2"/>
      </rPr>
      <t xml:space="preserve">손절가</t>
    </r>
    <r>
      <rPr>
        <b val="true"/>
        <sz val="10"/>
        <color rgb="FFFFFFFF"/>
        <rFont val="DejaVu Sans"/>
        <family val="2"/>
        <charset val="1"/>
      </rPr>
      <t xml:space="preserve">(₩)</t>
    </r>
  </si>
  <si>
    <t xml:space="preserve">상태</t>
  </si>
  <si>
    <t xml:space="preserve">엔비디아</t>
  </si>
  <si>
    <t xml:space="preserve">NVDA</t>
  </si>
  <si>
    <t xml:space="preserve">미국</t>
  </si>
  <si>
    <t xml:space="preserve">✅ 수익</t>
  </si>
  <si>
    <t xml:space="preserve">버티브홀딩스</t>
  </si>
  <si>
    <t xml:space="preserve">VRT</t>
  </si>
  <si>
    <t xml:space="preserve">현대차</t>
  </si>
  <si>
    <t xml:space="preserve">005380</t>
  </si>
  <si>
    <t xml:space="preserve">한국</t>
  </si>
  <si>
    <r>
      <rPr>
        <sz val="10"/>
        <rFont val="Arial"/>
        <family val="0"/>
        <charset val="1"/>
      </rPr>
      <t xml:space="preserve">SK</t>
    </r>
    <r>
      <rPr>
        <sz val="10"/>
        <rFont val="DejaVu Sans"/>
        <family val="2"/>
      </rPr>
      <t xml:space="preserve">하이닉스</t>
    </r>
  </si>
  <si>
    <t xml:space="preserve">000660</t>
  </si>
  <si>
    <t xml:space="preserve">인텔</t>
  </si>
  <si>
    <t xml:space="preserve">INTC</t>
  </si>
  <si>
    <t xml:space="preserve">🟡 보합</t>
  </si>
  <si>
    <t xml:space="preserve">AST SpaceMobile</t>
  </si>
  <si>
    <t xml:space="preserve">ASTS</t>
  </si>
  <si>
    <t xml:space="preserve">🔴 손실</t>
  </si>
  <si>
    <t xml:space="preserve">MicroStrategy2x</t>
  </si>
  <si>
    <t xml:space="preserve">MSTX</t>
  </si>
  <si>
    <t xml:space="preserve">—</t>
  </si>
  <si>
    <t xml:space="preserve">🔴 장기보유</t>
  </si>
  <si>
    <t xml:space="preserve">아마텍스바이오</t>
  </si>
  <si>
    <t xml:space="preserve">AMTX</t>
  </si>
  <si>
    <t xml:space="preserve">합 계</t>
  </si>
  <si>
    <r>
      <rPr>
        <b val="true"/>
        <sz val="10"/>
        <color rgb="FFFF6600"/>
        <rFont val="DejaVu Sans"/>
        <family val="2"/>
      </rPr>
      <t xml:space="preserve">⚠️ 현재가</t>
    </r>
    <r>
      <rPr>
        <b val="true"/>
        <sz val="10"/>
        <color rgb="FFFF6600"/>
        <rFont val="Arial"/>
        <family val="0"/>
        <charset val="1"/>
      </rPr>
      <t xml:space="preserve">(</t>
    </r>
    <r>
      <rPr>
        <b val="true"/>
        <sz val="10"/>
        <color rgb="FFFF6600"/>
        <rFont val="DejaVu Sans"/>
        <family val="2"/>
      </rPr>
      <t xml:space="preserve">주황색 컬럼</t>
    </r>
    <r>
      <rPr>
        <b val="true"/>
        <sz val="10"/>
        <color rgb="FFFF6600"/>
        <rFont val="Arial"/>
        <family val="0"/>
        <charset val="1"/>
      </rPr>
      <t xml:space="preserve">)</t>
    </r>
    <r>
      <rPr>
        <b val="true"/>
        <sz val="10"/>
        <color rgb="FFFF6600"/>
        <rFont val="DejaVu Sans"/>
        <family val="2"/>
      </rPr>
      <t xml:space="preserve">는 수동 업데이트 필요 — 기준일</t>
    </r>
    <r>
      <rPr>
        <b val="true"/>
        <sz val="10"/>
        <color rgb="FFFF6600"/>
        <rFont val="Arial"/>
        <family val="0"/>
        <charset val="1"/>
      </rPr>
      <t xml:space="preserve">: 2026.05.15  |  </t>
    </r>
    <r>
      <rPr>
        <b val="true"/>
        <sz val="10"/>
        <color rgb="FFFF6600"/>
        <rFont val="DejaVu Sans"/>
        <family val="2"/>
      </rPr>
      <t xml:space="preserve">현재가 변경 시 평가금액</t>
    </r>
    <r>
      <rPr>
        <b val="true"/>
        <sz val="10"/>
        <color rgb="FFFF6600"/>
        <rFont val="Arial"/>
        <family val="0"/>
        <charset val="1"/>
      </rPr>
      <t xml:space="preserve">·</t>
    </r>
    <r>
      <rPr>
        <b val="true"/>
        <sz val="10"/>
        <color rgb="FFFF6600"/>
        <rFont val="DejaVu Sans"/>
        <family val="2"/>
      </rPr>
      <t xml:space="preserve">손익</t>
    </r>
    <r>
      <rPr>
        <b val="true"/>
        <sz val="10"/>
        <color rgb="FFFF6600"/>
        <rFont val="Arial"/>
        <family val="0"/>
        <charset val="1"/>
      </rPr>
      <t xml:space="preserve">·</t>
    </r>
    <r>
      <rPr>
        <b val="true"/>
        <sz val="10"/>
        <color rgb="FFFF6600"/>
        <rFont val="DejaVu Sans"/>
        <family val="2"/>
      </rPr>
      <t xml:space="preserve">수익률 자동 재계산됨</t>
    </r>
  </si>
  <si>
    <t xml:space="preserve">⚡ 자동매수 지정가 세팅표 — 기계적 분할매수 전략</t>
  </si>
  <si>
    <t xml:space="preserve">구분</t>
  </si>
  <si>
    <t xml:space="preserve">종목</t>
  </si>
  <si>
    <r>
      <rPr>
        <b val="true"/>
        <sz val="10"/>
        <color rgb="FFFFFFFF"/>
        <rFont val="DejaVu Sans"/>
        <family val="2"/>
      </rPr>
      <t xml:space="preserve">현재가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수동입력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</si>
  <si>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DejaVu Sans"/>
        <family val="2"/>
      </rPr>
      <t xml:space="preserve">자동매수 </t>
    </r>
    <r>
      <rPr>
        <b val="true"/>
        <sz val="10"/>
        <color rgb="FFFFFFFF"/>
        <rFont val="DejaVu Sans"/>
        <family val="2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차</t>
    </r>
  </si>
  <si>
    <t xml:space="preserve">수량</t>
  </si>
  <si>
    <r>
      <rPr>
        <b val="true"/>
        <sz val="10"/>
        <color rgb="FFFFFFFF"/>
        <rFont val="DejaVu Sans"/>
        <family val="2"/>
      </rPr>
      <t xml:space="preserve">자동매수 </t>
    </r>
    <r>
      <rPr>
        <b val="true"/>
        <sz val="10"/>
        <color rgb="FFFFFFFF"/>
        <rFont val="DejaVu Sans"/>
        <family val="2"/>
        <charset val="1"/>
      </rPr>
      <t xml:space="preserve">2</t>
    </r>
    <r>
      <rPr>
        <b val="true"/>
        <sz val="10"/>
        <color rgb="FFFFFFFF"/>
        <rFont val="DejaVu Sans"/>
        <family val="2"/>
      </rPr>
      <t xml:space="preserve">차</t>
    </r>
  </si>
  <si>
    <t xml:space="preserve">손절가</t>
  </si>
  <si>
    <r>
      <rPr>
        <b val="true"/>
        <sz val="10"/>
        <color rgb="FFFFFFFF"/>
        <rFont val="DejaVu Sans"/>
        <family val="2"/>
      </rPr>
      <t xml:space="preserve">목표가</t>
    </r>
    <r>
      <rPr>
        <b val="true"/>
        <sz val="10"/>
        <color rgb="FFFFFFFF"/>
        <rFont val="DejaVu Sans"/>
        <family val="2"/>
        <charset val="1"/>
      </rPr>
      <t xml:space="preserve">1</t>
    </r>
  </si>
  <si>
    <r>
      <rPr>
        <b val="true"/>
        <sz val="10"/>
        <color rgb="FFFFFFFF"/>
        <rFont val="DejaVu Sans"/>
        <family val="2"/>
      </rPr>
      <t xml:space="preserve">목표가</t>
    </r>
    <r>
      <rPr>
        <b val="true"/>
        <sz val="10"/>
        <color rgb="FFFFFFFF"/>
        <rFont val="DejaVu Sans"/>
        <family val="2"/>
        <charset val="1"/>
      </rPr>
      <t xml:space="preserve">2</t>
    </r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</si>
  <si>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DejaVu Sans"/>
        <family val="2"/>
      </rPr>
      <t xml:space="preserve">차까지거리</t>
    </r>
  </si>
  <si>
    <t xml:space="preserve">보유재진입</t>
  </si>
  <si>
    <r>
      <rPr>
        <sz val="10"/>
        <rFont val="Arial"/>
        <family val="0"/>
        <charset val="1"/>
      </rPr>
      <t xml:space="preserve">8</t>
    </r>
    <r>
      <rPr>
        <sz val="10"/>
        <rFont val="DejaVu Sans"/>
        <family val="2"/>
      </rPr>
      <t xml:space="preserve">주</t>
    </r>
  </si>
  <si>
    <r>
      <rPr>
        <sz val="10"/>
        <rFont val="Arial"/>
        <family val="0"/>
        <charset val="1"/>
      </rPr>
      <t xml:space="preserve">6</t>
    </r>
    <r>
      <rPr>
        <sz val="10"/>
        <rFont val="DejaVu Sans"/>
        <family val="2"/>
      </rPr>
      <t xml:space="preserve">주</t>
    </r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</si>
  <si>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주</t>
    </r>
  </si>
  <si>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주</t>
    </r>
  </si>
  <si>
    <r>
      <rPr>
        <sz val="10"/>
        <rFont val="Arial"/>
        <family val="0"/>
        <charset val="1"/>
      </rPr>
      <t xml:space="preserve">12</t>
    </r>
    <r>
      <rPr>
        <sz val="10"/>
        <rFont val="DejaVu Sans"/>
        <family val="2"/>
      </rPr>
      <t xml:space="preserve">주</t>
    </r>
  </si>
  <si>
    <t xml:space="preserve">신규추천</t>
  </si>
  <si>
    <t xml:space="preserve">마이크론</t>
  </si>
  <si>
    <t xml:space="preserve">MU</t>
  </si>
  <si>
    <t xml:space="preserve">브로드컴</t>
  </si>
  <si>
    <t xml:space="preserve">AVGO</t>
  </si>
  <si>
    <t xml:space="preserve">TSMC</t>
  </si>
  <si>
    <t xml:space="preserve">TSM</t>
  </si>
  <si>
    <t xml:space="preserve">조회필요</t>
  </si>
  <si>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주</t>
    </r>
  </si>
  <si>
    <t xml:space="preserve">AMD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</si>
  <si>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주</t>
    </r>
  </si>
  <si>
    <r>
      <rPr>
        <b val="true"/>
        <sz val="10"/>
        <color rgb="FFFF0000"/>
        <rFont val="DejaVu Sans"/>
        <family val="2"/>
      </rPr>
      <t xml:space="preserve">⚠️ 규칙</t>
    </r>
    <r>
      <rPr>
        <b val="true"/>
        <sz val="10"/>
        <color rgb="FFFF0000"/>
        <rFont val="DejaVu Sans"/>
        <family val="2"/>
        <charset val="1"/>
      </rPr>
      <t xml:space="preserve">: ① 1</t>
    </r>
    <r>
      <rPr>
        <b val="true"/>
        <sz val="10"/>
        <color rgb="FFFF0000"/>
        <rFont val="DejaVu Sans"/>
        <family val="2"/>
      </rPr>
      <t xml:space="preserve">차 도달 → </t>
    </r>
    <r>
      <rPr>
        <b val="true"/>
        <sz val="10"/>
        <color rgb="FFFF0000"/>
        <rFont val="DejaVu Sans"/>
        <family val="2"/>
        <charset val="1"/>
      </rPr>
      <t xml:space="preserve">50% </t>
    </r>
    <r>
      <rPr>
        <b val="true"/>
        <sz val="10"/>
        <color rgb="FFFF0000"/>
        <rFont val="DejaVu Sans"/>
        <family val="2"/>
      </rPr>
      <t xml:space="preserve">매수  ② </t>
    </r>
    <r>
      <rPr>
        <b val="true"/>
        <sz val="10"/>
        <color rgb="FFFF0000"/>
        <rFont val="DejaVu Sans"/>
        <family val="2"/>
        <charset val="1"/>
      </rPr>
      <t xml:space="preserve">2</t>
    </r>
    <r>
      <rPr>
        <b val="true"/>
        <sz val="10"/>
        <color rgb="FFFF0000"/>
        <rFont val="DejaVu Sans"/>
        <family val="2"/>
      </rPr>
      <t xml:space="preserve">차 도달 → 나머지 </t>
    </r>
    <r>
      <rPr>
        <b val="true"/>
        <sz val="10"/>
        <color rgb="FFFF0000"/>
        <rFont val="DejaVu Sans"/>
        <family val="2"/>
        <charset val="1"/>
      </rPr>
      <t xml:space="preserve">50% </t>
    </r>
    <r>
      <rPr>
        <b val="true"/>
        <sz val="10"/>
        <color rgb="FFFF0000"/>
        <rFont val="DejaVu Sans"/>
        <family val="2"/>
      </rPr>
      <t xml:space="preserve">매수  ③ 손절가 하회 즉시 전량 청산  ④ 신규추천 종목은 매일 변동 가능 </t>
    </r>
    <r>
      <rPr>
        <b val="true"/>
        <sz val="10"/>
        <color rgb="FFFF0000"/>
        <rFont val="DejaVu Sans"/>
        <family val="2"/>
        <charset val="1"/>
      </rPr>
      <t xml:space="preserve">(</t>
    </r>
    <r>
      <rPr>
        <b val="true"/>
        <sz val="10"/>
        <color rgb="FFFF0000"/>
        <rFont val="DejaVu Sans"/>
        <family val="2"/>
      </rPr>
      <t xml:space="preserve">참고용</t>
    </r>
    <r>
      <rPr>
        <b val="true"/>
        <sz val="10"/>
        <color rgb="FFFF0000"/>
        <rFont val="DejaVu Sans"/>
        <family val="2"/>
        <charset val="1"/>
      </rPr>
      <t xml:space="preserve">)</t>
    </r>
  </si>
  <si>
    <r>
      <rPr>
        <b val="true"/>
        <sz val="13"/>
        <color rgb="FFFFFFFF"/>
        <rFont val="DejaVu Sans"/>
        <family val="2"/>
      </rPr>
      <t xml:space="preserve">📐 지지선 </t>
    </r>
    <r>
      <rPr>
        <b val="true"/>
        <sz val="13"/>
        <color rgb="FFFFFFFF"/>
        <rFont val="DejaVu Sans"/>
        <family val="2"/>
        <charset val="1"/>
      </rPr>
      <t xml:space="preserve">vs </t>
    </r>
    <r>
      <rPr>
        <b val="true"/>
        <sz val="13"/>
        <color rgb="FFFFFFFF"/>
        <rFont val="DejaVu Sans"/>
        <family val="2"/>
      </rPr>
      <t xml:space="preserve">허공 분석 — 진입 가능 구간 판별 </t>
    </r>
    <r>
      <rPr>
        <b val="true"/>
        <sz val="13"/>
        <color rgb="FFFFFFFF"/>
        <rFont val="DejaVu Sans"/>
        <family val="2"/>
        <charset val="1"/>
      </rPr>
      <t xml:space="preserve">(2026.05.15)</t>
    </r>
  </si>
  <si>
    <t xml:space="preserve">현재가</t>
  </si>
  <si>
    <r>
      <rPr>
        <b val="true"/>
        <sz val="10"/>
        <color rgb="FFFFFFFF"/>
        <rFont val="DejaVu Sans"/>
        <family val="2"/>
      </rPr>
      <t xml:space="preserve">지지선</t>
    </r>
    <r>
      <rPr>
        <b val="true"/>
        <sz val="10"/>
        <color rgb="FFFFFFFF"/>
        <rFont val="DejaVu Sans"/>
        <family val="2"/>
        <charset val="1"/>
      </rPr>
      <t xml:space="preserve">1</t>
    </r>
  </si>
  <si>
    <r>
      <rPr>
        <b val="true"/>
        <sz val="10"/>
        <color rgb="FFFFFFFF"/>
        <rFont val="DejaVu Sans"/>
        <family val="2"/>
      </rPr>
      <t xml:space="preserve">지지선</t>
    </r>
    <r>
      <rPr>
        <b val="true"/>
        <sz val="10"/>
        <color rgb="FFFFFFFF"/>
        <rFont val="DejaVu Sans"/>
        <family val="2"/>
        <charset val="1"/>
      </rPr>
      <t xml:space="preserve">2</t>
    </r>
  </si>
  <si>
    <t xml:space="preserve">주요저항</t>
  </si>
  <si>
    <t xml:space="preserve">구간판별</t>
  </si>
  <si>
    <t xml:space="preserve">진입가능여부</t>
  </si>
  <si>
    <t xml:space="preserve">비고</t>
  </si>
  <si>
    <t xml:space="preserve">$233.60</t>
  </si>
  <si>
    <r>
      <rPr>
        <sz val="10"/>
        <rFont val="Arial"/>
        <family val="0"/>
        <charset val="1"/>
      </rPr>
      <t xml:space="preserve">$215~220 (50</t>
    </r>
    <r>
      <rPr>
        <sz val="10"/>
        <rFont val="DejaVu Sans"/>
        <family val="2"/>
      </rPr>
      <t xml:space="preserve">일선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</si>
  <si>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$200~205 (100</t>
    </r>
    <r>
      <rPr>
        <sz val="10"/>
        <rFont val="DejaVu Sans"/>
        <family val="2"/>
      </rPr>
      <t xml:space="preserve">일선</t>
    </r>
    <r>
      <rPr>
        <sz val="10"/>
        <rFont val="Arial"/>
        <family val="0"/>
        <charset val="1"/>
      </rPr>
      <t xml:space="preserve">)</t>
    </r>
  </si>
  <si>
    <t xml:space="preserve">$245</t>
  </si>
  <si>
    <t xml:space="preserve">허공 ❌</t>
  </si>
  <si>
    <t xml:space="preserve">대기</t>
  </si>
  <si>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일선 도달 전 진입 금지</t>
    </r>
  </si>
  <si>
    <t xml:space="preserve">$378</t>
  </si>
  <si>
    <t xml:space="preserve">$340~350</t>
  </si>
  <si>
    <t xml:space="preserve">$310~320</t>
  </si>
  <si>
    <t xml:space="preserve">$400</t>
  </si>
  <si>
    <t xml:space="preserve">홀딩 🔒</t>
  </si>
  <si>
    <t xml:space="preserve">홀딩</t>
  </si>
  <si>
    <r>
      <rPr>
        <sz val="10"/>
        <rFont val="DejaVu Sans"/>
        <family val="2"/>
      </rPr>
      <t xml:space="preserve">실적 탄탄</t>
    </r>
    <r>
      <rPr>
        <sz val="10"/>
        <rFont val="DejaVu Sans"/>
        <family val="2"/>
        <charset val="1"/>
      </rPr>
      <t xml:space="preserve">. $340 </t>
    </r>
    <r>
      <rPr>
        <sz val="10"/>
        <rFont val="DejaVu Sans"/>
        <family val="2"/>
      </rPr>
      <t xml:space="preserve">깨면 재검토</t>
    </r>
  </si>
  <si>
    <t xml:space="preserve">₩692,000</t>
  </si>
  <si>
    <t xml:space="preserve">₩660,000~670,000</t>
  </si>
  <si>
    <t xml:space="preserve">₩630,000~640,000</t>
  </si>
  <si>
    <t xml:space="preserve">₩730,000</t>
  </si>
  <si>
    <t xml:space="preserve">관세협상 결과 변수</t>
  </si>
  <si>
    <t xml:space="preserve">₩1,976,000</t>
  </si>
  <si>
    <r>
      <rPr>
        <sz val="10"/>
        <rFont val="Arial"/>
        <family val="0"/>
        <charset val="1"/>
      </rPr>
      <t xml:space="preserve">₩1,800,000 </t>
    </r>
    <r>
      <rPr>
        <sz val="10"/>
        <rFont val="DejaVu Sans"/>
        <family val="2"/>
      </rPr>
      <t xml:space="preserve">이하</t>
    </r>
  </si>
  <si>
    <t xml:space="preserve">₩1,600,000</t>
  </si>
  <si>
    <t xml:space="preserve">₩2,500,000</t>
  </si>
  <si>
    <r>
      <rPr>
        <sz val="10"/>
        <rFont val="DejaVu Sans"/>
        <family val="2"/>
      </rPr>
      <t xml:space="preserve">목표가 ₩</t>
    </r>
    <r>
      <rPr>
        <sz val="10"/>
        <rFont val="DejaVu Sans"/>
        <family val="2"/>
        <charset val="1"/>
      </rPr>
      <t xml:space="preserve">300</t>
    </r>
    <r>
      <rPr>
        <sz val="10"/>
        <rFont val="DejaVu Sans"/>
        <family val="2"/>
      </rPr>
      <t xml:space="preserve">만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장기홀딩</t>
    </r>
  </si>
  <si>
    <t xml:space="preserve">$109</t>
  </si>
  <si>
    <t xml:space="preserve">$104~106</t>
  </si>
  <si>
    <t xml:space="preserve">$98~100</t>
  </si>
  <si>
    <t xml:space="preserve">$120</t>
  </si>
  <si>
    <r>
      <rPr>
        <sz val="10"/>
        <rFont val="Arial"/>
        <family val="0"/>
        <charset val="1"/>
      </rPr>
      <t xml:space="preserve">$111 </t>
    </r>
    <r>
      <rPr>
        <sz val="10"/>
        <rFont val="DejaVu Sans"/>
        <family val="2"/>
      </rPr>
      <t xml:space="preserve">지지 이탈 후 </t>
    </r>
    <r>
      <rPr>
        <sz val="10"/>
        <rFont val="Arial"/>
        <family val="0"/>
        <charset val="1"/>
      </rPr>
      <t xml:space="preserve">$104</t>
    </r>
    <r>
      <rPr>
        <sz val="10"/>
        <rFont val="DejaVu Sans"/>
        <family val="2"/>
      </rPr>
      <t xml:space="preserve">까지 허공</t>
    </r>
  </si>
  <si>
    <t xml:space="preserve">$74.81</t>
  </si>
  <si>
    <t xml:space="preserve">$65~68</t>
  </si>
  <si>
    <t xml:space="preserve">$55~60</t>
  </si>
  <si>
    <t xml:space="preserve">$90</t>
  </si>
  <si>
    <t xml:space="preserve">지지근접 ✅</t>
  </si>
  <si>
    <t xml:space="preserve">검토가능</t>
  </si>
  <si>
    <r>
      <rPr>
        <sz val="10"/>
        <rFont val="Arial"/>
        <family val="0"/>
        <charset val="1"/>
      </rPr>
      <t xml:space="preserve">Q1 </t>
    </r>
    <r>
      <rPr>
        <sz val="10"/>
        <rFont val="DejaVu Sans"/>
        <family val="2"/>
      </rPr>
      <t xml:space="preserve">쇼크 반영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반등캔들 확인 후</t>
    </r>
  </si>
  <si>
    <r>
      <rPr>
        <b val="true"/>
        <sz val="10"/>
        <color rgb="FFFF6600"/>
        <rFont val="DejaVu Sans"/>
        <family val="2"/>
      </rPr>
      <t xml:space="preserve">손실 </t>
    </r>
    <r>
      <rPr>
        <b val="true"/>
        <sz val="10"/>
        <color rgb="FFFF6600"/>
        <rFont val="Arial"/>
        <family val="0"/>
        <charset val="1"/>
      </rPr>
      <t xml:space="preserve">-78%</t>
    </r>
  </si>
  <si>
    <t xml:space="preserve">비트코인 연동</t>
  </si>
  <si>
    <t xml:space="preserve">장기보유 🔒</t>
  </si>
  <si>
    <r>
      <rPr>
        <sz val="10"/>
        <rFont val="DejaVu Sans"/>
        <family val="2"/>
      </rPr>
      <t xml:space="preserve">손절 없음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비트코인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년 관점</t>
    </r>
  </si>
  <si>
    <t xml:space="preserve">$778</t>
  </si>
  <si>
    <t xml:space="preserve">$748~727</t>
  </si>
  <si>
    <t xml:space="preserve">$700</t>
  </si>
  <si>
    <t xml:space="preserve">$820</t>
  </si>
  <si>
    <r>
      <rPr>
        <sz val="10"/>
        <rFont val="DejaVu Sans"/>
        <family val="2"/>
      </rPr>
      <t xml:space="preserve">지지선 근접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반등캔들 </t>
    </r>
    <r>
      <rPr>
        <sz val="10"/>
        <rFont val="DejaVu Sans"/>
        <family val="2"/>
        <charset val="1"/>
      </rPr>
      <t xml:space="preserve">1</t>
    </r>
    <r>
      <rPr>
        <sz val="10"/>
        <rFont val="DejaVu Sans"/>
        <family val="2"/>
      </rPr>
      <t xml:space="preserve">개 확인 후</t>
    </r>
  </si>
  <si>
    <t xml:space="preserve">$439</t>
  </si>
  <si>
    <t xml:space="preserve">$420~440</t>
  </si>
  <si>
    <t xml:space="preserve">$390</t>
  </si>
  <si>
    <t xml:space="preserve">$500</t>
  </si>
  <si>
    <t xml:space="preserve">✅ 진입가능</t>
  </si>
  <si>
    <r>
      <rPr>
        <sz val="10"/>
        <rFont val="DejaVu Sans"/>
        <family val="2"/>
      </rPr>
      <t xml:space="preserve">공정가치 </t>
    </r>
    <r>
      <rPr>
        <sz val="10"/>
        <rFont val="DejaVu Sans"/>
        <family val="2"/>
        <charset val="1"/>
      </rPr>
      <t xml:space="preserve">-12%. </t>
    </r>
    <r>
      <rPr>
        <sz val="10"/>
        <rFont val="DejaVu Sans"/>
        <family val="2"/>
      </rPr>
      <t xml:space="preserve">지금이 저평가 구간</t>
    </r>
  </si>
  <si>
    <t xml:space="preserve">상승중</t>
  </si>
  <si>
    <t xml:space="preserve">$183~185</t>
  </si>
  <si>
    <t xml:space="preserve">$175</t>
  </si>
  <si>
    <t xml:space="preserve">$220</t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</si>
  <si>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일 연속 상승</t>
    </r>
    <r>
      <rPr>
        <sz val="10"/>
        <rFont val="Arial"/>
        <family val="0"/>
        <charset val="1"/>
      </rPr>
      <t xml:space="preserve">. </t>
    </r>
    <r>
      <rPr>
        <sz val="10"/>
        <rFont val="DejaVu Sans"/>
        <family val="2"/>
      </rPr>
      <t xml:space="preserve">조정 후 진입</t>
    </r>
  </si>
  <si>
    <t xml:space="preserve">$447</t>
  </si>
  <si>
    <t xml:space="preserve">$405~410</t>
  </si>
  <si>
    <t xml:space="preserve">$392</t>
  </si>
  <si>
    <r>
      <rPr>
        <sz val="10"/>
        <rFont val="DejaVu Sans"/>
        <family val="2"/>
      </rPr>
      <t xml:space="preserve">고점 근처</t>
    </r>
    <r>
      <rPr>
        <sz val="10"/>
        <rFont val="DejaVu Sans"/>
        <family val="2"/>
        <charset val="1"/>
      </rPr>
      <t xml:space="preserve">. $405 </t>
    </r>
    <r>
      <rPr>
        <sz val="10"/>
        <rFont val="DejaVu Sans"/>
        <family val="2"/>
      </rPr>
      <t xml:space="preserve">눌림 대기</t>
    </r>
  </si>
  <si>
    <r>
      <rPr>
        <b val="true"/>
        <sz val="13"/>
        <color rgb="FFFFFFFF"/>
        <rFont val="DejaVu Sans"/>
        <family val="2"/>
      </rPr>
      <t xml:space="preserve">🌟 추천종목 선정 기준 — 골든크로스 </t>
    </r>
    <r>
      <rPr>
        <b val="true"/>
        <sz val="13"/>
        <color rgb="FFFFFFFF"/>
        <rFont val="DejaVu Sans"/>
        <family val="2"/>
        <charset val="1"/>
      </rPr>
      <t xml:space="preserve">+ MA20 + </t>
    </r>
    <r>
      <rPr>
        <b val="true"/>
        <sz val="13"/>
        <color rgb="FFFFFFFF"/>
        <rFont val="DejaVu Sans"/>
        <family val="2"/>
      </rPr>
      <t xml:space="preserve">지지선</t>
    </r>
  </si>
  <si>
    <r>
      <rPr>
        <b val="true"/>
        <sz val="10"/>
        <rFont val="DejaVu Sans"/>
        <family val="2"/>
      </rPr>
      <t xml:space="preserve">⭐ 최우선 선정 조건 </t>
    </r>
    <r>
      <rPr>
        <b val="true"/>
        <sz val="10"/>
        <rFont val="DejaVu Sans"/>
        <family val="2"/>
        <charset val="1"/>
      </rPr>
      <t xml:space="preserve">(</t>
    </r>
    <r>
      <rPr>
        <b val="true"/>
        <sz val="10"/>
        <rFont val="DejaVu Sans"/>
        <family val="2"/>
      </rPr>
      <t xml:space="preserve">골든크로스 </t>
    </r>
    <r>
      <rPr>
        <b val="true"/>
        <sz val="10"/>
        <rFont val="DejaVu Sans"/>
        <family val="2"/>
        <charset val="1"/>
      </rPr>
      <t xml:space="preserve">+ 20</t>
    </r>
    <r>
      <rPr>
        <b val="true"/>
        <sz val="10"/>
        <rFont val="DejaVu Sans"/>
        <family val="2"/>
      </rPr>
      <t xml:space="preserve">일선 근방</t>
    </r>
    <r>
      <rPr>
        <b val="true"/>
        <sz val="10"/>
        <rFont val="DejaVu Sans"/>
        <family val="2"/>
        <charset val="1"/>
      </rPr>
      <t xml:space="preserve">)</t>
    </r>
  </si>
  <si>
    <r>
      <rPr>
        <b val="true"/>
        <sz val="10"/>
        <rFont val="DejaVu Sans"/>
        <family val="2"/>
      </rPr>
      <t xml:space="preserve">조건</t>
    </r>
    <r>
      <rPr>
        <b val="true"/>
        <sz val="10"/>
        <rFont val="DejaVu Sans"/>
        <family val="2"/>
        <charset val="1"/>
      </rPr>
      <t xml:space="preserve">1</t>
    </r>
  </si>
  <si>
    <r>
      <rPr>
        <sz val="10"/>
        <rFont val="Arial"/>
        <family val="0"/>
        <charset val="1"/>
      </rPr>
      <t xml:space="preserve">50</t>
    </r>
    <r>
      <rPr>
        <sz val="10"/>
        <rFont val="DejaVu Sans"/>
        <family val="2"/>
      </rPr>
      <t xml:space="preserve">일 이평선</t>
    </r>
    <r>
      <rPr>
        <sz val="10"/>
        <rFont val="Arial"/>
        <family val="0"/>
        <charset val="1"/>
      </rPr>
      <t xml:space="preserve">(MA50)</t>
    </r>
    <r>
      <rPr>
        <sz val="10"/>
        <rFont val="DejaVu Sans"/>
        <family val="2"/>
      </rPr>
      <t xml:space="preserve">이 </t>
    </r>
    <r>
      <rPr>
        <sz val="10"/>
        <rFont val="Arial"/>
        <family val="0"/>
        <charset val="1"/>
      </rPr>
      <t xml:space="preserve">200</t>
    </r>
    <r>
      <rPr>
        <sz val="10"/>
        <rFont val="DejaVu Sans"/>
        <family val="2"/>
      </rPr>
      <t xml:space="preserve">일 이평선</t>
    </r>
    <r>
      <rPr>
        <sz val="10"/>
        <rFont val="Arial"/>
        <family val="0"/>
        <charset val="1"/>
      </rPr>
      <t xml:space="preserve">(MA200)</t>
    </r>
    <r>
      <rPr>
        <sz val="10"/>
        <rFont val="DejaVu Sans"/>
        <family val="2"/>
      </rPr>
      <t xml:space="preserve">을 아래→위로 돌파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골든크로스 발생 </t>
    </r>
    <r>
      <rPr>
        <sz val="10"/>
        <rFont val="Arial"/>
        <family val="0"/>
        <charset val="1"/>
      </rPr>
      <t xml:space="preserve">or 30</t>
    </r>
    <r>
      <rPr>
        <sz val="10"/>
        <rFont val="DejaVu Sans"/>
        <family val="2"/>
      </rPr>
      <t xml:space="preserve">일 이내 임박</t>
    </r>
    <r>
      <rPr>
        <sz val="10"/>
        <rFont val="Arial"/>
        <family val="0"/>
        <charset val="1"/>
      </rPr>
      <t xml:space="preserve">)</t>
    </r>
  </si>
  <si>
    <r>
      <rPr>
        <b val="true"/>
        <sz val="10"/>
        <rFont val="DejaVu Sans"/>
        <family val="2"/>
      </rPr>
      <t xml:space="preserve">조건</t>
    </r>
    <r>
      <rPr>
        <b val="true"/>
        <sz val="10"/>
        <rFont val="DejaVu Sans"/>
        <family val="2"/>
        <charset val="1"/>
      </rPr>
      <t xml:space="preserve">2</t>
    </r>
  </si>
  <si>
    <r>
      <rPr>
        <sz val="10"/>
        <rFont val="DejaVu Sans"/>
        <family val="2"/>
      </rPr>
      <t xml:space="preserve">현재가가 </t>
    </r>
    <r>
      <rPr>
        <sz val="10"/>
        <rFont val="DejaVu Sans"/>
        <family val="2"/>
        <charset val="1"/>
      </rPr>
      <t xml:space="preserve">20</t>
    </r>
    <r>
      <rPr>
        <sz val="10"/>
        <rFont val="DejaVu Sans"/>
        <family val="2"/>
      </rPr>
      <t xml:space="preserve">일 이평선</t>
    </r>
    <r>
      <rPr>
        <sz val="10"/>
        <rFont val="DejaVu Sans"/>
        <family val="2"/>
        <charset val="1"/>
      </rPr>
      <t xml:space="preserve">(MA20) ±3% </t>
    </r>
    <r>
      <rPr>
        <sz val="10"/>
        <rFont val="DejaVu Sans"/>
        <family val="2"/>
      </rPr>
      <t xml:space="preserve">이내에 위치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눌림목 진입 구간</t>
    </r>
    <r>
      <rPr>
        <sz val="10"/>
        <rFont val="DejaVu Sans"/>
        <family val="2"/>
        <charset val="1"/>
      </rPr>
      <t xml:space="preserve">)</t>
    </r>
  </si>
  <si>
    <t xml:space="preserve">의미</t>
  </si>
  <si>
    <r>
      <rPr>
        <sz val="10"/>
        <rFont val="DejaVu Sans"/>
        <family val="2"/>
      </rPr>
      <t xml:space="preserve">추세 전환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골든크로스</t>
    </r>
    <r>
      <rPr>
        <sz val="10"/>
        <rFont val="DejaVu Sans"/>
        <family val="2"/>
        <charset val="1"/>
      </rPr>
      <t xml:space="preserve">) + </t>
    </r>
    <r>
      <rPr>
        <sz val="10"/>
        <rFont val="DejaVu Sans"/>
        <family val="2"/>
      </rPr>
      <t xml:space="preserve">적절한 눌림목</t>
    </r>
    <r>
      <rPr>
        <sz val="10"/>
        <rFont val="DejaVu Sans"/>
        <family val="2"/>
        <charset val="1"/>
      </rPr>
      <t xml:space="preserve">(MA20 </t>
    </r>
    <r>
      <rPr>
        <sz val="10"/>
        <rFont val="DejaVu Sans"/>
        <family val="2"/>
      </rPr>
      <t xml:space="preserve">근방</t>
    </r>
    <r>
      <rPr>
        <sz val="10"/>
        <rFont val="DejaVu Sans"/>
        <family val="2"/>
        <charset val="1"/>
      </rPr>
      <t xml:space="preserve">)</t>
    </r>
    <r>
      <rPr>
        <sz val="10"/>
        <rFont val="DejaVu Sans"/>
        <family val="2"/>
      </rPr>
      <t xml:space="preserve">이 동시에 맞아떨어지는 최고의 진입 시점</t>
    </r>
  </si>
  <si>
    <t xml:space="preserve">✅ 보조 선정 조건</t>
  </si>
  <si>
    <r>
      <rPr>
        <b val="true"/>
        <sz val="10"/>
        <rFont val="DejaVu Sans"/>
        <family val="2"/>
      </rPr>
      <t xml:space="preserve">조건</t>
    </r>
    <r>
      <rPr>
        <b val="true"/>
        <sz val="10"/>
        <rFont val="DejaVu Sans"/>
        <family val="2"/>
        <charset val="1"/>
      </rPr>
      <t xml:space="preserve">A</t>
    </r>
  </si>
  <si>
    <r>
      <rPr>
        <sz val="10"/>
        <rFont val="DejaVu Sans"/>
        <family val="2"/>
      </rPr>
      <t xml:space="preserve">지지선 근처 </t>
    </r>
    <r>
      <rPr>
        <sz val="10"/>
        <rFont val="DejaVu Sans"/>
        <family val="2"/>
        <charset val="1"/>
      </rPr>
      <t xml:space="preserve">or </t>
    </r>
    <r>
      <rPr>
        <sz val="10"/>
        <rFont val="DejaVu Sans"/>
        <family val="2"/>
      </rPr>
      <t xml:space="preserve">눌림목 진입 구간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자동매수가 </t>
    </r>
    <r>
      <rPr>
        <sz val="10"/>
        <rFont val="DejaVu Sans"/>
        <family val="2"/>
        <charset val="1"/>
      </rPr>
      <t xml:space="preserve">3% </t>
    </r>
    <r>
      <rPr>
        <sz val="10"/>
        <rFont val="DejaVu Sans"/>
        <family val="2"/>
      </rPr>
      <t xml:space="preserve">이내 접근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</si>
  <si>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0"/>
        <rFont val="DejaVu Sans"/>
        <family val="2"/>
      </rPr>
      <t xml:space="preserve">조건</t>
    </r>
    <r>
      <rPr>
        <b val="true"/>
        <sz val="10"/>
        <rFont val="DejaVu Sans"/>
        <family val="2"/>
        <charset val="1"/>
      </rPr>
      <t xml:space="preserve">B</t>
    </r>
  </si>
  <si>
    <r>
      <rPr>
        <sz val="10"/>
        <rFont val="DejaVu Sans"/>
        <family val="2"/>
      </rPr>
      <t xml:space="preserve">오늘 특별 촉매 — 실적 서프라이즈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대형 뉴스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섹터 모멘텀</t>
    </r>
  </si>
  <si>
    <r>
      <rPr>
        <b val="true"/>
        <sz val="10"/>
        <rFont val="DejaVu Sans"/>
        <family val="2"/>
      </rPr>
      <t xml:space="preserve">조건</t>
    </r>
    <r>
      <rPr>
        <b val="true"/>
        <sz val="10"/>
        <rFont val="DejaVu Sans"/>
        <family val="2"/>
        <charset val="1"/>
      </rPr>
      <t xml:space="preserve">C</t>
    </r>
  </si>
  <si>
    <r>
      <rPr>
        <sz val="10"/>
        <rFont val="Arial"/>
        <family val="0"/>
        <charset val="1"/>
      </rPr>
      <t xml:space="preserve">AI / </t>
    </r>
    <r>
      <rPr>
        <sz val="10"/>
        <rFont val="DejaVu Sans"/>
        <family val="2"/>
      </rPr>
      <t xml:space="preserve">반도체 </t>
    </r>
    <r>
      <rPr>
        <sz val="10"/>
        <rFont val="Arial"/>
        <family val="0"/>
        <charset val="1"/>
      </rPr>
      <t xml:space="preserve">/ EV / </t>
    </r>
    <r>
      <rPr>
        <sz val="10"/>
        <rFont val="DejaVu Sans"/>
        <family val="2"/>
      </rPr>
      <t xml:space="preserve">에너지 섹터 우선</t>
    </r>
  </si>
  <si>
    <t xml:space="preserve">❌ 제외 기준</t>
  </si>
  <si>
    <r>
      <rPr>
        <b val="true"/>
        <sz val="10"/>
        <rFont val="DejaVu Sans"/>
        <family val="2"/>
      </rPr>
      <t xml:space="preserve">제외</t>
    </r>
    <r>
      <rPr>
        <b val="true"/>
        <sz val="10"/>
        <rFont val="DejaVu Sans"/>
        <family val="2"/>
        <charset val="1"/>
      </rPr>
      <t xml:space="preserve">1</t>
    </r>
  </si>
  <si>
    <r>
      <rPr>
        <sz val="10"/>
        <rFont val="DejaVu Sans"/>
        <family val="2"/>
      </rPr>
      <t xml:space="preserve">허공 구간 — 지지선도 저항선도 아닌 중간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진입 시 손절 기준 불명확</t>
    </r>
    <r>
      <rPr>
        <sz val="10"/>
        <rFont val="DejaVu Sans"/>
        <family val="2"/>
        <charset val="1"/>
      </rPr>
      <t xml:space="preserve">)</t>
    </r>
  </si>
  <si>
    <r>
      <rPr>
        <b val="true"/>
        <sz val="10"/>
        <rFont val="DejaVu Sans"/>
        <family val="2"/>
      </rPr>
      <t xml:space="preserve">제외</t>
    </r>
    <r>
      <rPr>
        <b val="true"/>
        <sz val="10"/>
        <rFont val="DejaVu Sans"/>
        <family val="2"/>
        <charset val="1"/>
      </rPr>
      <t xml:space="preserve">2</t>
    </r>
  </si>
  <si>
    <r>
      <rPr>
        <sz val="10"/>
        <rFont val="Arial"/>
        <family val="0"/>
        <charset val="1"/>
      </rPr>
      <t xml:space="preserve">52</t>
    </r>
    <r>
      <rPr>
        <sz val="10"/>
        <rFont val="DejaVu Sans"/>
        <family val="2"/>
      </rPr>
      <t xml:space="preserve">주 고점 </t>
    </r>
    <r>
      <rPr>
        <sz val="10"/>
        <rFont val="Arial"/>
        <family val="0"/>
        <charset val="1"/>
      </rPr>
      <t xml:space="preserve">5% </t>
    </r>
    <r>
      <rPr>
        <sz val="10"/>
        <rFont val="DejaVu Sans"/>
        <family val="2"/>
      </rPr>
      <t xml:space="preserve">이내 과열 구간</t>
    </r>
  </si>
  <si>
    <r>
      <rPr>
        <b val="true"/>
        <sz val="10"/>
        <rFont val="DejaVu Sans"/>
        <family val="2"/>
      </rPr>
      <t xml:space="preserve">제외</t>
    </r>
    <r>
      <rPr>
        <b val="true"/>
        <sz val="10"/>
        <rFont val="DejaVu Sans"/>
        <family val="2"/>
        <charset val="1"/>
      </rPr>
      <t xml:space="preserve">3</t>
    </r>
  </si>
  <si>
    <r>
      <rPr>
        <sz val="10"/>
        <rFont val="Arial"/>
        <family val="0"/>
        <charset val="1"/>
      </rPr>
      <t xml:space="preserve">RSI &gt; 70 </t>
    </r>
    <r>
      <rPr>
        <sz val="10"/>
        <rFont val="DejaVu Sans"/>
        <family val="2"/>
      </rPr>
      <t xml:space="preserve">과매수 구간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단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강한 추세에서는 예외 가능</t>
    </r>
    <r>
      <rPr>
        <sz val="10"/>
        <rFont val="Arial"/>
        <family val="0"/>
        <charset val="1"/>
      </rPr>
      <t xml:space="preserve">)</t>
    </r>
  </si>
  <si>
    <t xml:space="preserve">📐 수식 참고</t>
  </si>
  <si>
    <t xml:space="preserve">MA20</t>
  </si>
  <si>
    <r>
      <rPr>
        <sz val="10"/>
        <rFont val="DejaVu Sans"/>
        <family val="2"/>
      </rPr>
      <t xml:space="preserve">최근 </t>
    </r>
    <r>
      <rPr>
        <sz val="10"/>
        <rFont val="DejaVu Sans"/>
        <family val="2"/>
        <charset val="1"/>
      </rPr>
      <t xml:space="preserve">20</t>
    </r>
    <r>
      <rPr>
        <sz val="10"/>
        <rFont val="DejaVu Sans"/>
        <family val="2"/>
      </rPr>
      <t xml:space="preserve">일 종가 합계 </t>
    </r>
    <r>
      <rPr>
        <sz val="10"/>
        <rFont val="DejaVu Sans"/>
        <family val="2"/>
        <charset val="1"/>
      </rPr>
      <t xml:space="preserve">÷ 20  |  </t>
    </r>
    <r>
      <rPr>
        <sz val="10"/>
        <rFont val="DejaVu Sans"/>
        <family val="2"/>
      </rPr>
      <t xml:space="preserve">단기 추세선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눌림목 기준</t>
    </r>
  </si>
  <si>
    <t xml:space="preserve">MA50</t>
  </si>
  <si>
    <r>
      <rPr>
        <sz val="10"/>
        <rFont val="DejaVu Sans"/>
        <family val="2"/>
      </rPr>
      <t xml:space="preserve">최근 </t>
    </r>
    <r>
      <rPr>
        <sz val="10"/>
        <rFont val="DejaVu Sans"/>
        <family val="2"/>
        <charset val="1"/>
      </rPr>
      <t xml:space="preserve">50</t>
    </r>
    <r>
      <rPr>
        <sz val="10"/>
        <rFont val="DejaVu Sans"/>
        <family val="2"/>
      </rPr>
      <t xml:space="preserve">일 종가 합계 </t>
    </r>
    <r>
      <rPr>
        <sz val="10"/>
        <rFont val="DejaVu Sans"/>
        <family val="2"/>
        <charset val="1"/>
      </rPr>
      <t xml:space="preserve">÷ 50  |  </t>
    </r>
    <r>
      <rPr>
        <sz val="10"/>
        <rFont val="DejaVu Sans"/>
        <family val="2"/>
      </rPr>
      <t xml:space="preserve">중기 추세선</t>
    </r>
  </si>
  <si>
    <t xml:space="preserve">MA200</t>
  </si>
  <si>
    <r>
      <rPr>
        <sz val="10"/>
        <rFont val="DejaVu Sans"/>
        <family val="2"/>
      </rPr>
      <t xml:space="preserve">최근 </t>
    </r>
    <r>
      <rPr>
        <sz val="10"/>
        <rFont val="DejaVu Sans"/>
        <family val="2"/>
        <charset val="1"/>
      </rPr>
      <t xml:space="preserve">200</t>
    </r>
    <r>
      <rPr>
        <sz val="10"/>
        <rFont val="DejaVu Sans"/>
        <family val="2"/>
      </rPr>
      <t xml:space="preserve">일 종가 합계 </t>
    </r>
    <r>
      <rPr>
        <sz val="10"/>
        <rFont val="DejaVu Sans"/>
        <family val="2"/>
        <charset val="1"/>
      </rPr>
      <t xml:space="preserve">÷ 200  |  </t>
    </r>
    <r>
      <rPr>
        <sz val="10"/>
        <rFont val="DejaVu Sans"/>
        <family val="2"/>
      </rPr>
      <t xml:space="preserve">장기 추세선</t>
    </r>
    <r>
      <rPr>
        <sz val="10"/>
        <rFont val="DejaVu Sans"/>
        <family val="2"/>
        <charset val="1"/>
      </rPr>
      <t xml:space="preserve">, </t>
    </r>
    <r>
      <rPr>
        <sz val="10"/>
        <rFont val="DejaVu Sans"/>
        <family val="2"/>
      </rPr>
      <t xml:space="preserve">골든크로스 기준</t>
    </r>
  </si>
  <si>
    <t xml:space="preserve">RSI</t>
  </si>
  <si>
    <r>
      <rPr>
        <sz val="10"/>
        <rFont val="DejaVu Sans"/>
        <family val="2"/>
        <charset val="1"/>
      </rPr>
      <t xml:space="preserve">100 − 100 ÷ (1 + </t>
    </r>
    <r>
      <rPr>
        <sz val="10"/>
        <rFont val="DejaVu Sans"/>
        <family val="2"/>
      </rPr>
      <t xml:space="preserve">평균상승폭 </t>
    </r>
    <r>
      <rPr>
        <sz val="10"/>
        <rFont val="DejaVu Sans"/>
        <family val="2"/>
        <charset val="1"/>
      </rPr>
      <t xml:space="preserve">÷ </t>
    </r>
    <r>
      <rPr>
        <sz val="10"/>
        <rFont val="DejaVu Sans"/>
        <family val="2"/>
      </rPr>
      <t xml:space="preserve">평균하락폭</t>
    </r>
    <r>
      <rPr>
        <sz val="10"/>
        <rFont val="DejaVu Sans"/>
        <family val="2"/>
        <charset val="1"/>
      </rPr>
      <t xml:space="preserve">)  |  </t>
    </r>
    <r>
      <rPr>
        <sz val="10"/>
        <rFont val="DejaVu Sans"/>
        <family val="2"/>
      </rPr>
      <t xml:space="preserve">과매수≥</t>
    </r>
    <r>
      <rPr>
        <sz val="10"/>
        <rFont val="DejaVu Sans"/>
        <family val="2"/>
        <charset val="1"/>
      </rPr>
      <t xml:space="preserve">70, </t>
    </r>
    <r>
      <rPr>
        <sz val="10"/>
        <rFont val="DejaVu Sans"/>
        <family val="2"/>
      </rPr>
      <t xml:space="preserve">과매도≤</t>
    </r>
    <r>
      <rPr>
        <sz val="10"/>
        <rFont val="DejaVu Sans"/>
        <family val="2"/>
        <charset val="1"/>
      </rPr>
      <t xml:space="preserve">30</t>
    </r>
  </si>
  <si>
    <t xml:space="preserve">골든크로스</t>
  </si>
  <si>
    <r>
      <rPr>
        <sz val="10"/>
        <rFont val="Arial"/>
        <family val="0"/>
        <charset val="1"/>
      </rPr>
      <t xml:space="preserve">MA50 &gt; MA200 (</t>
    </r>
    <r>
      <rPr>
        <sz val="10"/>
        <rFont val="DejaVu Sans"/>
        <family val="2"/>
      </rPr>
      <t xml:space="preserve">단기선이 장기선 상향 돌파</t>
    </r>
    <r>
      <rPr>
        <sz val="10"/>
        <rFont val="Arial"/>
        <family val="0"/>
        <charset val="1"/>
      </rPr>
      <t xml:space="preserve">)  ↔  </t>
    </r>
    <r>
      <rPr>
        <sz val="10"/>
        <rFont val="DejaVu Sans"/>
        <family val="2"/>
      </rPr>
      <t xml:space="preserve">데드크로스</t>
    </r>
    <r>
      <rPr>
        <sz val="10"/>
        <rFont val="Arial"/>
        <family val="0"/>
        <charset val="1"/>
      </rPr>
      <t xml:space="preserve">: MA50 &lt; MA200</t>
    </r>
  </si>
  <si>
    <t xml:space="preserve">🎯 추천 개수</t>
  </si>
  <si>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개 이상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조건 맞는 종목이 많으면 제한 없이 추천</t>
    </r>
    <r>
      <rPr>
        <sz val="10"/>
        <rFont val="Arial"/>
        <family val="0"/>
        <charset val="1"/>
      </rPr>
      <t xml:space="preserve">)</t>
    </r>
  </si>
  <si>
    <t xml:space="preserve">갱신 주기</t>
  </si>
  <si>
    <r>
      <rPr>
        <sz val="10"/>
        <rFont val="DejaVu Sans"/>
        <family val="2"/>
      </rPr>
      <t xml:space="preserve">매일 새로 선정 — 고정 종목 없음</t>
    </r>
    <r>
      <rPr>
        <sz val="10"/>
        <rFont val="DejaVu Sans"/>
        <family val="2"/>
        <charset val="1"/>
      </rPr>
      <t xml:space="preserve">. </t>
    </r>
    <r>
      <rPr>
        <sz val="10"/>
        <rFont val="DejaVu Sans"/>
        <family val="2"/>
      </rPr>
      <t xml:space="preserve">시장 상황에 따라 매일 변동</t>
    </r>
  </si>
  <si>
    <r>
      <rPr>
        <b val="true"/>
        <sz val="13"/>
        <color rgb="FFFFFFFF"/>
        <rFont val="DejaVu Sans"/>
        <family val="2"/>
      </rPr>
      <t xml:space="preserve">🎯 투자 목표 달성 현황 — 목표</t>
    </r>
    <r>
      <rPr>
        <b val="true"/>
        <sz val="13"/>
        <color rgb="FFFFFFFF"/>
        <rFont val="DejaVu Sans"/>
        <family val="2"/>
        <charset val="1"/>
      </rPr>
      <t xml:space="preserve">: 2</t>
    </r>
    <r>
      <rPr>
        <b val="true"/>
        <sz val="13"/>
        <color rgb="FFFFFFFF"/>
        <rFont val="DejaVu Sans"/>
        <family val="2"/>
      </rPr>
      <t xml:space="preserve">억원 </t>
    </r>
    <r>
      <rPr>
        <b val="true"/>
        <sz val="13"/>
        <color rgb="FFFFFFFF"/>
        <rFont val="DejaVu Sans"/>
        <family val="2"/>
        <charset val="1"/>
      </rPr>
      <t xml:space="preserve">/ </t>
    </r>
    <r>
      <rPr>
        <b val="true"/>
        <sz val="13"/>
        <color rgb="FFFFFFFF"/>
        <rFont val="DejaVu Sans"/>
        <family val="2"/>
      </rPr>
      <t xml:space="preserve">기한</t>
    </r>
    <r>
      <rPr>
        <b val="true"/>
        <sz val="13"/>
        <color rgb="FFFFFFFF"/>
        <rFont val="DejaVu Sans"/>
        <family val="2"/>
        <charset val="1"/>
      </rPr>
      <t xml:space="preserve">: 2027.12.31</t>
    </r>
  </si>
  <si>
    <t xml:space="preserve">총 투자원금</t>
  </si>
  <si>
    <t xml:space="preserve">현재 총 평가금액</t>
  </si>
  <si>
    <t xml:space="preserve">현재 총 손익</t>
  </si>
  <si>
    <t xml:space="preserve">현재 수익률</t>
  </si>
  <si>
    <t xml:space="preserve">최종 목표금액</t>
  </si>
  <si>
    <t xml:space="preserve">목표까지 남은 금액</t>
  </si>
  <si>
    <t xml:space="preserve">목표 달성률</t>
  </si>
  <si>
    <t xml:space="preserve">일일 필요 수익률</t>
  </si>
  <si>
    <t xml:space="preserve">목표 달성 기한</t>
  </si>
  <si>
    <t xml:space="preserve">2027.12.31</t>
  </si>
  <si>
    <r>
      <rPr>
        <b val="true"/>
        <sz val="11"/>
        <rFont val="DejaVu Sans"/>
        <family val="2"/>
      </rPr>
      <t xml:space="preserve">남은 영업일 </t>
    </r>
    <r>
      <rPr>
        <b val="true"/>
        <sz val="11"/>
        <rFont val="DejaVu Sans"/>
        <family val="2"/>
        <charset val="1"/>
      </rPr>
      <t xml:space="preserve">(</t>
    </r>
    <r>
      <rPr>
        <b val="true"/>
        <sz val="11"/>
        <rFont val="DejaVu Sans"/>
        <family val="2"/>
      </rPr>
      <t xml:space="preserve">추정</t>
    </r>
    <r>
      <rPr>
        <b val="true"/>
        <sz val="11"/>
        <rFont val="DejaVu Sans"/>
        <family val="2"/>
        <charset val="1"/>
      </rPr>
      <t xml:space="preserve">)</t>
    </r>
  </si>
  <si>
    <r>
      <rPr>
        <sz val="11"/>
        <rFont val="DejaVu Sans"/>
        <family val="2"/>
      </rPr>
      <t xml:space="preserve">약 </t>
    </r>
    <r>
      <rPr>
        <sz val="11"/>
        <rFont val="DejaVu Sans"/>
        <family val="2"/>
        <charset val="1"/>
      </rPr>
      <t xml:space="preserve">650</t>
    </r>
    <r>
      <rPr>
        <sz val="11"/>
        <rFont val="DejaVu Sans"/>
        <family val="2"/>
      </rPr>
      <t xml:space="preserve">일</t>
    </r>
  </si>
  <si>
    <r>
      <rPr>
        <b val="true"/>
        <sz val="13"/>
        <color rgb="FFFFFFFF"/>
        <rFont val="DejaVu Sans"/>
        <family val="2"/>
      </rPr>
      <t xml:space="preserve">🔔 자동 알림 스케줄 전체 — </t>
    </r>
    <r>
      <rPr>
        <b val="true"/>
        <sz val="13"/>
        <color rgb="FFFFFFFF"/>
        <rFont val="DejaVu Sans"/>
        <family val="2"/>
        <charset val="1"/>
      </rPr>
      <t xml:space="preserve">Claude </t>
    </r>
    <r>
      <rPr>
        <b val="true"/>
        <sz val="13"/>
        <color rgb="FFFFFFFF"/>
        <rFont val="DejaVu Sans"/>
        <family val="2"/>
      </rPr>
      <t xml:space="preserve">자동 실행</t>
    </r>
  </si>
  <si>
    <t xml:space="preserve">알림명</t>
  </si>
  <si>
    <t xml:space="preserve">시간</t>
  </si>
  <si>
    <t xml:space="preserve">반복</t>
  </si>
  <si>
    <t xml:space="preserve">주요 내용</t>
  </si>
  <si>
    <t xml:space="preserve">추천주 포함</t>
  </si>
  <si>
    <t xml:space="preserve">자동매수 임박 알림</t>
  </si>
  <si>
    <r>
      <rPr>
        <sz val="10"/>
        <rFont val="Arial"/>
        <family val="0"/>
        <charset val="1"/>
      </rPr>
      <t xml:space="preserve">7AM </t>
    </r>
    <r>
      <rPr>
        <sz val="10"/>
        <rFont val="DejaVu Sans"/>
        <family val="2"/>
      </rPr>
      <t xml:space="preserve">주식 브리핑</t>
    </r>
  </si>
  <si>
    <r>
      <rPr>
        <sz val="10"/>
        <rFont val="DejaVu Sans"/>
        <family val="2"/>
      </rPr>
      <t xml:space="preserve">매일 </t>
    </r>
    <r>
      <rPr>
        <sz val="10"/>
        <rFont val="DejaVu Sans"/>
        <family val="2"/>
        <charset val="1"/>
      </rPr>
      <t xml:space="preserve">07:00</t>
    </r>
  </si>
  <si>
    <t xml:space="preserve">매일</t>
  </si>
  <si>
    <r>
      <rPr>
        <sz val="10"/>
        <rFont val="DejaVu Sans"/>
        <family val="2"/>
      </rPr>
      <t xml:space="preserve">글로벌 지수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보유종목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채용공고</t>
    </r>
  </si>
  <si>
    <r>
      <rPr>
        <sz val="10"/>
        <rFont val="Arial"/>
        <family val="0"/>
        <charset val="1"/>
      </rPr>
      <t xml:space="preserve">✅ 4</t>
    </r>
    <r>
      <rPr>
        <sz val="10"/>
        <rFont val="DejaVu Sans"/>
        <family val="2"/>
      </rPr>
      <t xml:space="preserve">개↑ 매일변동</t>
    </r>
  </si>
  <si>
    <t xml:space="preserve">✅ 포함</t>
  </si>
  <si>
    <t xml:space="preserve">🟢 활성</t>
  </si>
  <si>
    <r>
      <rPr>
        <sz val="10"/>
        <rFont val="Arial"/>
        <family val="0"/>
        <charset val="1"/>
      </rPr>
      <t xml:space="preserve">12PM </t>
    </r>
    <r>
      <rPr>
        <sz val="10"/>
        <rFont val="DejaVu Sans"/>
        <family val="2"/>
      </rPr>
      <t xml:space="preserve">진입타이밍</t>
    </r>
  </si>
  <si>
    <r>
      <rPr>
        <sz val="10"/>
        <rFont val="DejaVu Sans"/>
        <family val="2"/>
      </rPr>
      <t xml:space="preserve">평일 </t>
    </r>
    <r>
      <rPr>
        <sz val="10"/>
        <rFont val="DejaVu Sans"/>
        <family val="2"/>
        <charset val="1"/>
      </rPr>
      <t xml:space="preserve">12:00</t>
    </r>
  </si>
  <si>
    <t xml:space="preserve">평일</t>
  </si>
  <si>
    <r>
      <rPr>
        <sz val="10"/>
        <rFont val="DejaVu Sans"/>
        <family val="2"/>
      </rPr>
      <t xml:space="preserve">보유종목 자동매수 임박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추천종목</t>
    </r>
  </si>
  <si>
    <r>
      <rPr>
        <sz val="10"/>
        <rFont val="Arial"/>
        <family val="0"/>
        <charset val="1"/>
      </rPr>
      <t xml:space="preserve">3PM </t>
    </r>
    <r>
      <rPr>
        <sz val="10"/>
        <rFont val="DejaVu Sans"/>
        <family val="2"/>
      </rPr>
      <t xml:space="preserve">한국장마감</t>
    </r>
  </si>
  <si>
    <r>
      <rPr>
        <sz val="10"/>
        <rFont val="DejaVu Sans"/>
        <family val="2"/>
      </rPr>
      <t xml:space="preserve">평일 </t>
    </r>
    <r>
      <rPr>
        <sz val="10"/>
        <rFont val="DejaVu Sans"/>
        <family val="2"/>
        <charset val="1"/>
      </rPr>
      <t xml:space="preserve">15:00</t>
    </r>
  </si>
  <si>
    <r>
      <rPr>
        <sz val="10"/>
        <rFont val="DejaVu Sans"/>
        <family val="2"/>
      </rPr>
      <t xml:space="preserve">코스피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코스닥 마감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보유종목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인사이트</t>
    </r>
  </si>
  <si>
    <r>
      <rPr>
        <sz val="10"/>
        <rFont val="Arial"/>
        <family val="0"/>
        <charset val="1"/>
      </rPr>
      <t xml:space="preserve">6PM </t>
    </r>
    <r>
      <rPr>
        <sz val="10"/>
        <rFont val="DejaVu Sans"/>
        <family val="2"/>
      </rPr>
      <t xml:space="preserve">저녁 인사이트</t>
    </r>
  </si>
  <si>
    <r>
      <rPr>
        <sz val="10"/>
        <rFont val="DejaVu Sans"/>
        <family val="2"/>
      </rPr>
      <t xml:space="preserve">평일 </t>
    </r>
    <r>
      <rPr>
        <sz val="10"/>
        <rFont val="DejaVu Sans"/>
        <family val="2"/>
        <charset val="1"/>
      </rPr>
      <t xml:space="preserve">18:00</t>
    </r>
  </si>
  <si>
    <r>
      <rPr>
        <sz val="10"/>
        <rFont val="DejaVu Sans"/>
        <family val="2"/>
      </rPr>
      <t xml:space="preserve">미국장 개장 전 체크포인트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진입타이밍</t>
    </r>
  </si>
  <si>
    <r>
      <rPr>
        <sz val="10"/>
        <rFont val="Arial"/>
        <family val="0"/>
        <charset val="1"/>
      </rPr>
      <t xml:space="preserve">9PM </t>
    </r>
    <r>
      <rPr>
        <sz val="10"/>
        <rFont val="DejaVu Sans"/>
        <family val="2"/>
      </rPr>
      <t xml:space="preserve">국제정세</t>
    </r>
  </si>
  <si>
    <r>
      <rPr>
        <sz val="10"/>
        <rFont val="DejaVu Sans"/>
        <family val="2"/>
      </rPr>
      <t xml:space="preserve">매일 </t>
    </r>
    <r>
      <rPr>
        <sz val="10"/>
        <rFont val="DejaVu Sans"/>
        <family val="2"/>
        <charset val="1"/>
      </rPr>
      <t xml:space="preserve">21:00</t>
    </r>
  </si>
  <si>
    <r>
      <rPr>
        <sz val="10"/>
        <rFont val="DejaVu Sans"/>
        <family val="2"/>
      </rPr>
      <t xml:space="preserve">트럼프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미중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관세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지정학</t>
    </r>
    <r>
      <rPr>
        <sz val="10"/>
        <rFont val="DejaVu Sans"/>
        <family val="2"/>
        <charset val="1"/>
      </rPr>
      <t xml:space="preserve">+</t>
    </r>
    <r>
      <rPr>
        <sz val="10"/>
        <rFont val="DejaVu Sans"/>
        <family val="2"/>
      </rPr>
      <t xml:space="preserve">선제위험알림</t>
    </r>
  </si>
  <si>
    <r>
      <rPr>
        <sz val="10"/>
        <rFont val="Arial"/>
        <family val="0"/>
        <charset val="1"/>
      </rPr>
      <t xml:space="preserve">PLTR </t>
    </r>
    <r>
      <rPr>
        <sz val="10"/>
        <rFont val="DejaVu Sans"/>
        <family val="2"/>
      </rPr>
      <t xml:space="preserve">눌림목 알림</t>
    </r>
  </si>
  <si>
    <r>
      <rPr>
        <sz val="10"/>
        <rFont val="DejaVu Sans"/>
        <family val="2"/>
      </rPr>
      <t xml:space="preserve">평일 </t>
    </r>
    <r>
      <rPr>
        <sz val="10"/>
        <rFont val="DejaVu Sans"/>
        <family val="2"/>
        <charset val="1"/>
      </rPr>
      <t xml:space="preserve">09/15</t>
    </r>
    <r>
      <rPr>
        <sz val="10"/>
        <rFont val="DejaVu Sans"/>
        <family val="2"/>
      </rPr>
      <t xml:space="preserve">시</t>
    </r>
  </si>
  <si>
    <r>
      <rPr>
        <sz val="10"/>
        <rFont val="DejaVu Sans"/>
        <family val="2"/>
      </rPr>
      <t xml:space="preserve">평일</t>
    </r>
    <r>
      <rPr>
        <sz val="10"/>
        <rFont val="DejaVu Sans"/>
        <family val="2"/>
        <charset val="1"/>
      </rPr>
      <t xml:space="preserve">2</t>
    </r>
    <r>
      <rPr>
        <sz val="10"/>
        <rFont val="DejaVu Sans"/>
        <family val="2"/>
      </rPr>
      <t xml:space="preserve">회</t>
    </r>
  </si>
  <si>
    <r>
      <rPr>
        <sz val="10"/>
        <rFont val="Arial"/>
        <family val="0"/>
        <charset val="1"/>
      </rPr>
      <t xml:space="preserve">PLTR $125~128 </t>
    </r>
    <r>
      <rPr>
        <sz val="10"/>
        <rFont val="DejaVu Sans"/>
        <family val="2"/>
      </rPr>
      <t xml:space="preserve">도달 시만 알림</t>
    </r>
  </si>
  <si>
    <r>
      <rPr>
        <sz val="10"/>
        <rFont val="Arial"/>
        <family val="0"/>
        <charset val="1"/>
      </rPr>
      <t xml:space="preserve">Gmail </t>
    </r>
    <r>
      <rPr>
        <sz val="10"/>
        <rFont val="DejaVu Sans"/>
        <family val="2"/>
      </rPr>
      <t xml:space="preserve">채용 알림</t>
    </r>
  </si>
  <si>
    <r>
      <rPr>
        <sz val="10"/>
        <rFont val="DejaVu Sans"/>
        <family val="2"/>
      </rPr>
      <t xml:space="preserve">매일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회</t>
    </r>
  </si>
  <si>
    <r>
      <rPr>
        <sz val="10"/>
        <rFont val="DejaVu Sans"/>
        <family val="2"/>
      </rPr>
      <t xml:space="preserve">합격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불합격</t>
    </r>
    <r>
      <rPr>
        <sz val="10"/>
        <rFont val="DejaVu Sans"/>
        <family val="2"/>
        <charset val="1"/>
      </rPr>
      <t xml:space="preserve">/</t>
    </r>
    <r>
      <rPr>
        <sz val="10"/>
        <rFont val="DejaVu Sans"/>
        <family val="2"/>
      </rPr>
      <t xml:space="preserve">면접 키워드 메일 감지 시 알림</t>
    </r>
  </si>
  <si>
    <r>
      <rPr>
        <b val="true"/>
        <sz val="13"/>
        <color rgb="FFFFFFFF"/>
        <rFont val="DejaVu Sans"/>
        <family val="2"/>
      </rPr>
      <t xml:space="preserve">💰 주식 세금 </t>
    </r>
    <r>
      <rPr>
        <b val="true"/>
        <sz val="13"/>
        <color rgb="FFFFFFFF"/>
        <rFont val="DejaVu Sans"/>
        <family val="2"/>
        <charset val="1"/>
      </rPr>
      <t xml:space="preserve">&amp; </t>
    </r>
    <r>
      <rPr>
        <b val="true"/>
        <sz val="13"/>
        <color rgb="FFFFFFFF"/>
        <rFont val="DejaVu Sans"/>
        <family val="2"/>
      </rPr>
      <t xml:space="preserve">절세 전략</t>
    </r>
  </si>
  <si>
    <t xml:space="preserve">한국 주식</t>
  </si>
  <si>
    <r>
      <rPr>
        <b val="true"/>
        <sz val="11"/>
        <color rgb="FFFFFFFF"/>
        <rFont val="DejaVu Sans"/>
        <family val="2"/>
      </rPr>
      <t xml:space="preserve">미국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해외</t>
    </r>
    <r>
      <rPr>
        <b val="true"/>
        <sz val="11"/>
        <color rgb="FFFFFFFF"/>
        <rFont val="DejaVu Sans"/>
        <family val="2"/>
        <charset val="1"/>
      </rPr>
      <t xml:space="preserve">) </t>
    </r>
    <r>
      <rPr>
        <b val="true"/>
        <sz val="11"/>
        <color rgb="FFFFFFFF"/>
        <rFont val="DejaVu Sans"/>
        <family val="2"/>
      </rPr>
      <t xml:space="preserve">주식</t>
    </r>
  </si>
  <si>
    <t xml:space="preserve">세금 종류</t>
  </si>
  <si>
    <r>
      <rPr>
        <sz val="10"/>
        <rFont val="DejaVu Sans"/>
        <family val="2"/>
      </rPr>
      <t xml:space="preserve">증권거래세 </t>
    </r>
    <r>
      <rPr>
        <sz val="10"/>
        <rFont val="DejaVu Sans"/>
        <family val="2"/>
        <charset val="1"/>
      </rPr>
      <t xml:space="preserve">0.18% (</t>
    </r>
    <r>
      <rPr>
        <sz val="10"/>
        <rFont val="DejaVu Sans"/>
        <family val="2"/>
      </rPr>
      <t xml:space="preserve">매도 즉시 자동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</si>
  <si>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양도소득세 </t>
    </r>
    <r>
      <rPr>
        <sz val="10"/>
        <rFont val="DejaVu Sans"/>
        <family val="2"/>
        <charset val="1"/>
      </rPr>
      <t xml:space="preserve">22% (</t>
    </r>
    <r>
      <rPr>
        <sz val="10"/>
        <rFont val="DejaVu Sans"/>
        <family val="2"/>
      </rPr>
      <t xml:space="preserve">이듬해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월 직접 신고</t>
    </r>
    <r>
      <rPr>
        <sz val="10"/>
        <rFont val="DejaVu Sans"/>
        <family val="2"/>
        <charset val="1"/>
      </rPr>
      <t xml:space="preserve">)</t>
    </r>
  </si>
  <si>
    <t xml:space="preserve">발생 시점</t>
  </si>
  <si>
    <t xml:space="preserve">매도할 때마다 자동 징수</t>
  </si>
  <si>
    <r>
      <rPr>
        <sz val="10"/>
        <rFont val="DejaVu Sans"/>
        <family val="2"/>
      </rPr>
      <t xml:space="preserve">연간 실현손익 기준 </t>
    </r>
    <r>
      <rPr>
        <sz val="10"/>
        <rFont val="DejaVu Sans"/>
        <family val="2"/>
        <charset val="1"/>
      </rPr>
      <t xml:space="preserve">/ </t>
    </r>
    <r>
      <rPr>
        <sz val="10"/>
        <rFont val="DejaVu Sans"/>
        <family val="2"/>
      </rPr>
      <t xml:space="preserve">다음해 </t>
    </r>
    <r>
      <rPr>
        <sz val="10"/>
        <rFont val="DejaVu Sans"/>
        <family val="2"/>
        <charset val="1"/>
      </rPr>
      <t xml:space="preserve">5</t>
    </r>
    <r>
      <rPr>
        <sz val="10"/>
        <rFont val="DejaVu Sans"/>
        <family val="2"/>
      </rPr>
      <t xml:space="preserve">월</t>
    </r>
  </si>
  <si>
    <t xml:space="preserve">기본 공제</t>
  </si>
  <si>
    <t xml:space="preserve">없음</t>
  </si>
  <si>
    <r>
      <rPr>
        <sz val="10"/>
        <rFont val="DejaVu Sans"/>
        <family val="2"/>
      </rPr>
      <t xml:space="preserve">연 </t>
    </r>
    <r>
      <rPr>
        <sz val="10"/>
        <rFont val="DejaVu Sans"/>
        <family val="2"/>
        <charset val="1"/>
      </rPr>
      <t xml:space="preserve">250</t>
    </r>
    <r>
      <rPr>
        <sz val="10"/>
        <rFont val="DejaVu Sans"/>
        <family val="2"/>
      </rPr>
      <t xml:space="preserve">만원 공제 후 과세</t>
    </r>
  </si>
  <si>
    <t xml:space="preserve">신고 주체</t>
  </si>
  <si>
    <t xml:space="preserve">증권사 자동</t>
  </si>
  <si>
    <r>
      <rPr>
        <sz val="10"/>
        <rFont val="DejaVu Sans"/>
        <family val="2"/>
      </rPr>
      <t xml:space="preserve">홈택스</t>
    </r>
    <r>
      <rPr>
        <sz val="10"/>
        <rFont val="DejaVu Sans"/>
        <family val="2"/>
        <charset val="1"/>
      </rPr>
      <t xml:space="preserve">(hometax.go.kr) </t>
    </r>
    <r>
      <rPr>
        <sz val="10"/>
        <rFont val="DejaVu Sans"/>
        <family val="2"/>
      </rPr>
      <t xml:space="preserve">본인 직접</t>
    </r>
  </si>
  <si>
    <t xml:space="preserve">손익통산</t>
  </si>
  <si>
    <t xml:space="preserve">불가</t>
  </si>
  <si>
    <t xml:space="preserve">✅ 가능 — 손실종목 매도로 세금 줄이기</t>
  </si>
  <si>
    <t xml:space="preserve">배당소득세</t>
  </si>
  <si>
    <r>
      <rPr>
        <sz val="10"/>
        <rFont val="Arial"/>
        <family val="0"/>
        <charset val="1"/>
      </rPr>
      <t xml:space="preserve">15.4% </t>
    </r>
    <r>
      <rPr>
        <sz val="10"/>
        <rFont val="DejaVu Sans"/>
        <family val="2"/>
      </rPr>
      <t xml:space="preserve">자동 원천징수</t>
    </r>
  </si>
  <si>
    <r>
      <rPr>
        <sz val="10"/>
        <rFont val="DejaVu Sans"/>
        <family val="2"/>
      </rPr>
      <t xml:space="preserve">미국 </t>
    </r>
    <r>
      <rPr>
        <sz val="10"/>
        <rFont val="DejaVu Sans"/>
        <family val="2"/>
        <charset val="1"/>
      </rPr>
      <t xml:space="preserve">15% </t>
    </r>
    <r>
      <rPr>
        <sz val="10"/>
        <rFont val="DejaVu Sans"/>
        <family val="2"/>
      </rPr>
      <t xml:space="preserve">원천징수 </t>
    </r>
    <r>
      <rPr>
        <sz val="10"/>
        <rFont val="DejaVu Sans"/>
        <family val="2"/>
        <charset val="1"/>
      </rPr>
      <t xml:space="preserve">(</t>
    </r>
    <r>
      <rPr>
        <sz val="10"/>
        <rFont val="DejaVu Sans"/>
        <family val="2"/>
      </rPr>
      <t xml:space="preserve">종합과세 별도</t>
    </r>
    <r>
      <rPr>
        <sz val="10"/>
        <rFont val="DejaVu Sans"/>
        <family val="2"/>
        <charset val="1"/>
      </rPr>
      <t xml:space="preserve">)</t>
    </r>
  </si>
  <si>
    <t xml:space="preserve">📌 절세 전략</t>
  </si>
  <si>
    <r>
      <rPr>
        <sz val="10"/>
        <rFont val="DejaVu Sans"/>
        <family val="2"/>
      </rPr>
      <t xml:space="preserve">전략</t>
    </r>
    <r>
      <rPr>
        <sz val="10"/>
        <rFont val="DejaVu Sans"/>
        <family val="2"/>
        <charset val="1"/>
      </rPr>
      <t xml:space="preserve">1</t>
    </r>
  </si>
  <si>
    <r>
      <rPr>
        <sz val="10"/>
        <rFont val="Arial"/>
        <family val="0"/>
        <charset val="1"/>
      </rPr>
      <t xml:space="preserve">MSTX·ASTS </t>
    </r>
    <r>
      <rPr>
        <sz val="10"/>
        <rFont val="DejaVu Sans"/>
        <family val="2"/>
      </rPr>
      <t xml:space="preserve">등 손실 종목을 수익 실현 연도에 함께 매도하여 손익통산</t>
    </r>
  </si>
  <si>
    <r>
      <rPr>
        <sz val="10"/>
        <rFont val="DejaVu Sans"/>
        <family val="2"/>
      </rPr>
      <t xml:space="preserve">→ 예</t>
    </r>
    <r>
      <rPr>
        <sz val="10"/>
        <rFont val="DejaVu Sans"/>
        <family val="2"/>
        <charset val="1"/>
      </rPr>
      <t xml:space="preserve">: NVDA +500</t>
    </r>
    <r>
      <rPr>
        <sz val="10"/>
        <rFont val="DejaVu Sans"/>
        <family val="2"/>
      </rPr>
      <t xml:space="preserve">만 </t>
    </r>
    <r>
      <rPr>
        <sz val="10"/>
        <rFont val="DejaVu Sans"/>
        <family val="2"/>
        <charset val="1"/>
      </rPr>
      <t xml:space="preserve">+ MSTX -300</t>
    </r>
    <r>
      <rPr>
        <sz val="10"/>
        <rFont val="DejaVu Sans"/>
        <family val="2"/>
      </rPr>
      <t xml:space="preserve">만 </t>
    </r>
    <r>
      <rPr>
        <sz val="10"/>
        <rFont val="DejaVu Sans"/>
        <family val="2"/>
        <charset val="1"/>
      </rPr>
      <t xml:space="preserve">= </t>
    </r>
    <r>
      <rPr>
        <sz val="10"/>
        <rFont val="DejaVu Sans"/>
        <family val="2"/>
      </rPr>
      <t xml:space="preserve">순이익 </t>
    </r>
    <r>
      <rPr>
        <sz val="10"/>
        <rFont val="DejaVu Sans"/>
        <family val="2"/>
        <charset val="1"/>
      </rPr>
      <t xml:space="preserve">200</t>
    </r>
    <r>
      <rPr>
        <sz val="10"/>
        <rFont val="DejaVu Sans"/>
        <family val="2"/>
      </rPr>
      <t xml:space="preserve">만 → </t>
    </r>
    <r>
      <rPr>
        <sz val="10"/>
        <rFont val="DejaVu Sans"/>
        <family val="2"/>
        <charset val="1"/>
      </rPr>
      <t xml:space="preserve">250</t>
    </r>
    <r>
      <rPr>
        <sz val="10"/>
        <rFont val="DejaVu Sans"/>
        <family val="2"/>
      </rPr>
      <t xml:space="preserve">만 공제 이하 → 세금 </t>
    </r>
    <r>
      <rPr>
        <sz val="10"/>
        <rFont val="DejaVu Sans"/>
        <family val="2"/>
        <charset val="1"/>
      </rPr>
      <t xml:space="preserve">0</t>
    </r>
  </si>
  <si>
    <r>
      <rPr>
        <sz val="10"/>
        <rFont val="DejaVu Sans"/>
        <family val="2"/>
      </rPr>
      <t xml:space="preserve">전략</t>
    </r>
    <r>
      <rPr>
        <sz val="10"/>
        <rFont val="DejaVu Sans"/>
        <family val="2"/>
        <charset val="1"/>
      </rPr>
      <t xml:space="preserve">2</t>
    </r>
  </si>
  <si>
    <r>
      <rPr>
        <sz val="10"/>
        <rFont val="DejaVu Sans"/>
        <family val="2"/>
      </rPr>
      <t xml:space="preserve">연간 수익이 </t>
    </r>
    <r>
      <rPr>
        <sz val="10"/>
        <rFont val="DejaVu Sans"/>
        <family val="2"/>
        <charset val="1"/>
      </rPr>
      <t xml:space="preserve">250</t>
    </r>
    <r>
      <rPr>
        <sz val="10"/>
        <rFont val="DejaVu Sans"/>
        <family val="2"/>
      </rPr>
      <t xml:space="preserve">만원 초과 예상 시 </t>
    </r>
    <r>
      <rPr>
        <sz val="10"/>
        <rFont val="DejaVu Sans"/>
        <family val="2"/>
        <charset val="1"/>
      </rPr>
      <t xml:space="preserve">12</t>
    </r>
    <r>
      <rPr>
        <sz val="10"/>
        <rFont val="DejaVu Sans"/>
        <family val="2"/>
      </rPr>
      <t xml:space="preserve">월 말 전략적 손실 실현</t>
    </r>
  </si>
  <si>
    <r>
      <rPr>
        <sz val="10"/>
        <rFont val="DejaVu Sans"/>
        <family val="2"/>
      </rPr>
      <t xml:space="preserve">→ 손실 확정 후 바로 재매수 가능 </t>
    </r>
    <r>
      <rPr>
        <sz val="10"/>
        <rFont val="DejaVu Sans"/>
        <family val="2"/>
        <charset val="1"/>
      </rPr>
      <t xml:space="preserve">(wash sale rule </t>
    </r>
    <r>
      <rPr>
        <sz val="10"/>
        <rFont val="DejaVu Sans"/>
        <family val="2"/>
      </rPr>
      <t xml:space="preserve">한국 미적용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</si>
  <si>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전략</t>
    </r>
    <r>
      <rPr>
        <sz val="10"/>
        <rFont val="DejaVu Sans"/>
        <family val="2"/>
        <charset val="1"/>
      </rPr>
      <t xml:space="preserve">3</t>
    </r>
  </si>
  <si>
    <r>
      <rPr>
        <sz val="10"/>
        <rFont val="DejaVu Sans"/>
        <family val="2"/>
      </rPr>
      <t xml:space="preserve">증권사 양도소득세 대행 서비스 활용 </t>
    </r>
    <r>
      <rPr>
        <sz val="10"/>
        <rFont val="DejaVu Sans"/>
        <family val="2"/>
        <charset val="1"/>
      </rPr>
      <t xml:space="preserve">(1~3</t>
    </r>
    <r>
      <rPr>
        <sz val="10"/>
        <rFont val="DejaVu Sans"/>
        <family val="2"/>
      </rPr>
      <t xml:space="preserve">만원</t>
    </r>
    <r>
      <rPr>
        <sz val="10"/>
        <rFont val="DejaVu Sans"/>
        <family val="2"/>
        <charset val="1"/>
      </rPr>
      <t xml:space="preserve">)</t>
    </r>
  </si>
  <si>
    <r>
      <rPr>
        <sz val="10"/>
        <rFont val="DejaVu Sans"/>
        <family val="2"/>
      </rPr>
      <t xml:space="preserve">→ 키움증권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미래에셋</t>
    </r>
    <r>
      <rPr>
        <sz val="10"/>
        <rFont val="DejaVu Sans"/>
        <family val="2"/>
        <charset val="1"/>
      </rPr>
      <t xml:space="preserve">·</t>
    </r>
    <r>
      <rPr>
        <sz val="10"/>
        <rFont val="DejaVu Sans"/>
        <family val="2"/>
      </rPr>
      <t xml:space="preserve">삼성증권 제공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</si>
</sst>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"/>
    <numFmt numFmtId="166" formatCode="#,##0"/>
    <numFmt numFmtId="167" formatCode="0.00%"/>
    <numFmt numFmtId="168" formatCode="#,##0.00"/>
    <numFmt numFmtId="169" formatCode="0.0%"/>
    <numFmt numFmtId="170" formatCode="0.000%"/>
    <numFmt numFmtId="171" formatCode="@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ejaVu Sans"/>
      <family val="2"/>
    </font>
    <font>
      <b val="true"/>
      <sz val="13"/>
      <color rgb="FFFFFFFF"/>
      <name val="DejaVu Sans"/>
      <family val="2"/>
      <charset val="1"/>
    </font>
    <font>
      <b val="true"/>
      <sz val="10"/>
      <color rgb="FFFFFFFF"/>
      <name val="DejaVu Sans"/>
      <family val="2"/>
    </font>
    <font>
      <b val="true"/>
      <sz val="10"/>
      <color rgb="FFFFFFFF"/>
      <name val="DejaVu Sans"/>
      <family val="2"/>
      <charset val="1"/>
    </font>
    <font>
      <b val="true"/>
      <sz val="10"/>
      <color rgb="FFFFFFFF"/>
      <name val="Arial"/>
      <family val="0"/>
      <charset val="1"/>
    </font>
    <font>
      <sz val="10"/>
      <name val="DejaVu Sans"/>
      <family val="2"/>
    </font>
    <font>
      <sz val="10"/>
      <name val="Arial"/>
      <family val="0"/>
      <charset val="1"/>
    </font>
    <font>
      <b val="true"/>
      <sz val="10"/>
      <color rgb="FFFF66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6600"/>
      <name val="DejaVu Sans"/>
      <family val="2"/>
    </font>
    <font>
      <b val="true"/>
      <sz val="10"/>
      <color rgb="FFFF0000"/>
      <name val="DejaVu Sans"/>
      <family val="2"/>
    </font>
    <font>
      <b val="true"/>
      <sz val="10"/>
      <color rgb="FFFF0000"/>
      <name val="DejaVu Sans"/>
      <family val="2"/>
      <charset val="1"/>
    </font>
    <font>
      <sz val="10"/>
      <name val="DejaVu Sans"/>
      <family val="2"/>
      <charset val="1"/>
    </font>
    <font>
      <b val="true"/>
      <sz val="10"/>
      <name val="Arial"/>
      <family val="0"/>
      <charset val="1"/>
    </font>
    <font>
      <b val="true"/>
      <sz val="10"/>
      <name val="DejaVu Sans"/>
      <family val="2"/>
    </font>
    <font>
      <b val="true"/>
      <sz val="10"/>
      <name val="DejaVu Sans"/>
      <family val="2"/>
      <charset val="1"/>
    </font>
    <font>
      <b val="true"/>
      <sz val="11"/>
      <name val="DejaVu Sans"/>
      <family val="2"/>
    </font>
    <font>
      <sz val="11"/>
      <name val="Arial"/>
      <family val="0"/>
      <charset val="1"/>
    </font>
    <font>
      <b val="true"/>
      <sz val="11"/>
      <name val="DejaVu Sans"/>
      <family val="2"/>
      <charset val="1"/>
    </font>
    <font>
      <sz val="11"/>
      <name val="DejaVu Sans"/>
      <family val="2"/>
    </font>
    <font>
      <sz val="11"/>
      <name val="DejaVu Sans"/>
      <family val="2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DejaVu Sans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6600"/>
        <bgColor rgb="FFFF9900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FF0E6"/>
      </patternFill>
    </fill>
    <fill>
      <patternFill patternType="solid">
        <fgColor rgb="FFFCE4D6"/>
        <bgColor rgb="FFFFE4E4"/>
      </patternFill>
    </fill>
    <fill>
      <patternFill patternType="solid">
        <fgColor rgb="FFFFF0E6"/>
        <bgColor rgb="FFF2F2F2"/>
      </patternFill>
    </fill>
    <fill>
      <patternFill patternType="solid">
        <fgColor rgb="FFF2F2F2"/>
        <bgColor rgb="FFFFF0E6"/>
      </patternFill>
    </fill>
    <fill>
      <patternFill patternType="solid">
        <fgColor rgb="FFFFE4E4"/>
        <bgColor rgb="FFFCE4D6"/>
      </patternFill>
    </fill>
    <fill>
      <patternFill patternType="solid">
        <fgColor rgb="FFFFD7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FF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0E6"/>
      <rgbColor rgb="FF99CCFF"/>
      <rgbColor rgb="FFFF99CC"/>
      <rgbColor rgb="FFCC99FF"/>
      <rgbColor rgb="FFFCE4D6"/>
      <rgbColor rgb="FF2E75B6"/>
      <rgbColor rgb="FF33CCCC"/>
      <rgbColor rgb="FF99CC00"/>
      <rgbColor rgb="FFFFD7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6"/>
    <col collapsed="false" customWidth="true" hidden="false" outlineLevel="0" max="4" min="4" style="1" width="9"/>
    <col collapsed="false" customWidth="true" hidden="false" outlineLevel="0" max="8" min="5" style="1" width="13"/>
    <col collapsed="false" customWidth="true" hidden="false" outlineLevel="0" max="9" min="9" style="1" width="9"/>
    <col collapsed="false" customWidth="true" hidden="false" outlineLevel="0" max="12" min="10" style="1" width="12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1.7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customFormat="false" ht="19.5" hidden="false" customHeight="true" outlineLevel="0" collapsed="false">
      <c r="A3" s="5" t="s">
        <v>13</v>
      </c>
      <c r="B3" s="6" t="s">
        <v>14</v>
      </c>
      <c r="C3" s="5" t="s">
        <v>15</v>
      </c>
      <c r="D3" s="7" t="n">
        <v>32.443</v>
      </c>
      <c r="E3" s="8" t="n">
        <v>314645</v>
      </c>
      <c r="F3" s="9" t="n">
        <v>351860</v>
      </c>
      <c r="G3" s="8" t="n">
        <f aca="false">D3*F3</f>
        <v>11415393.98</v>
      </c>
      <c r="H3" s="8" t="n">
        <f aca="false">G3-D3*E3</f>
        <v>1207366.245</v>
      </c>
      <c r="I3" s="10" t="n">
        <f aca="false">H3/(D3*E3)</f>
        <v>0.118276152489313</v>
      </c>
      <c r="J3" s="11" t="n">
        <v>217</v>
      </c>
      <c r="K3" s="11" t="n">
        <v>185</v>
      </c>
      <c r="L3" s="5" t="s">
        <v>16</v>
      </c>
    </row>
    <row r="4" customFormat="false" ht="19.5" hidden="false" customHeight="true" outlineLevel="0" collapsed="false">
      <c r="A4" s="5" t="s">
        <v>17</v>
      </c>
      <c r="B4" s="6" t="s">
        <v>18</v>
      </c>
      <c r="C4" s="5" t="s">
        <v>15</v>
      </c>
      <c r="D4" s="7" t="n">
        <v>11</v>
      </c>
      <c r="E4" s="8" t="n">
        <v>508866</v>
      </c>
      <c r="F4" s="9" t="n">
        <v>563000</v>
      </c>
      <c r="G4" s="8" t="n">
        <f aca="false">D4*F4</f>
        <v>6193000</v>
      </c>
      <c r="H4" s="8" t="n">
        <f aca="false">G4-D4*E4</f>
        <v>595474</v>
      </c>
      <c r="I4" s="10" t="n">
        <f aca="false">H4/(D4*E4)</f>
        <v>0.106381640746287</v>
      </c>
      <c r="J4" s="11" t="n">
        <v>340</v>
      </c>
      <c r="K4" s="11" t="n">
        <v>290</v>
      </c>
      <c r="L4" s="5" t="s">
        <v>16</v>
      </c>
    </row>
    <row r="5" customFormat="false" ht="19.5" hidden="false" customHeight="true" outlineLevel="0" collapsed="false">
      <c r="A5" s="5" t="s">
        <v>19</v>
      </c>
      <c r="B5" s="6" t="s">
        <v>20</v>
      </c>
      <c r="C5" s="5" t="s">
        <v>21</v>
      </c>
      <c r="D5" s="7" t="n">
        <v>1</v>
      </c>
      <c r="E5" s="8" t="n">
        <v>604875</v>
      </c>
      <c r="F5" s="9" t="n">
        <v>692000</v>
      </c>
      <c r="G5" s="8" t="n">
        <f aca="false">D5*F5</f>
        <v>692000</v>
      </c>
      <c r="H5" s="8" t="n">
        <f aca="false">G5-D5*E5</f>
        <v>87125</v>
      </c>
      <c r="I5" s="10" t="n">
        <f aca="false">H5/(D5*E5)</f>
        <v>0.144038024385204</v>
      </c>
      <c r="J5" s="5" t="n">
        <v>665000</v>
      </c>
      <c r="K5" s="5" t="n">
        <v>600000</v>
      </c>
      <c r="L5" s="5" t="s">
        <v>16</v>
      </c>
    </row>
    <row r="6" customFormat="false" ht="19.5" hidden="false" customHeight="true" outlineLevel="0" collapsed="false">
      <c r="A6" s="6" t="s">
        <v>22</v>
      </c>
      <c r="B6" s="6" t="s">
        <v>23</v>
      </c>
      <c r="C6" s="5" t="s">
        <v>21</v>
      </c>
      <c r="D6" s="7" t="n">
        <v>2</v>
      </c>
      <c r="E6" s="8" t="n">
        <v>1857666</v>
      </c>
      <c r="F6" s="9" t="n">
        <v>1976000</v>
      </c>
      <c r="G6" s="8" t="n">
        <f aca="false">D6*F6</f>
        <v>3952000</v>
      </c>
      <c r="H6" s="8" t="n">
        <f aca="false">G6-D6*E6</f>
        <v>236668</v>
      </c>
      <c r="I6" s="10" t="n">
        <f aca="false">H6/(D6*E6)</f>
        <v>0.0637003637898309</v>
      </c>
      <c r="J6" s="5" t="n">
        <v>1800000</v>
      </c>
      <c r="K6" s="5" t="n">
        <v>1600000</v>
      </c>
      <c r="L6" s="5" t="s">
        <v>16</v>
      </c>
    </row>
    <row r="7" customFormat="false" ht="19.5" hidden="false" customHeight="true" outlineLevel="0" collapsed="false">
      <c r="A7" s="12" t="s">
        <v>24</v>
      </c>
      <c r="B7" s="13" t="s">
        <v>25</v>
      </c>
      <c r="C7" s="12" t="s">
        <v>15</v>
      </c>
      <c r="D7" s="14" t="n">
        <v>1</v>
      </c>
      <c r="E7" s="15" t="n">
        <v>161035</v>
      </c>
      <c r="F7" s="16" t="n">
        <v>162500</v>
      </c>
      <c r="G7" s="15" t="n">
        <f aca="false">D7*F7</f>
        <v>162500</v>
      </c>
      <c r="H7" s="15" t="n">
        <f aca="false">G7-D7*E7</f>
        <v>1465</v>
      </c>
      <c r="I7" s="17" t="n">
        <f aca="false">H7/(D7*E7)</f>
        <v>0.00909740118607756</v>
      </c>
      <c r="J7" s="18" t="n">
        <v>104.5</v>
      </c>
      <c r="K7" s="18" t="n">
        <v>95</v>
      </c>
      <c r="L7" s="12" t="s">
        <v>26</v>
      </c>
    </row>
    <row r="8" customFormat="false" ht="19.5" hidden="false" customHeight="true" outlineLevel="0" collapsed="false">
      <c r="A8" s="19" t="s">
        <v>27</v>
      </c>
      <c r="B8" s="19" t="s">
        <v>28</v>
      </c>
      <c r="C8" s="20" t="s">
        <v>15</v>
      </c>
      <c r="D8" s="21" t="n">
        <v>8</v>
      </c>
      <c r="E8" s="22" t="n">
        <v>139599</v>
      </c>
      <c r="F8" s="23" t="n">
        <v>111800</v>
      </c>
      <c r="G8" s="22" t="n">
        <f aca="false">D8*F8</f>
        <v>894400</v>
      </c>
      <c r="H8" s="22" t="n">
        <f aca="false">G8-D8*E8</f>
        <v>-222392</v>
      </c>
      <c r="I8" s="24" t="n">
        <f aca="false">H8/(D8*E8)</f>
        <v>-0.199134664288426</v>
      </c>
      <c r="J8" s="25" t="n">
        <v>67</v>
      </c>
      <c r="K8" s="25" t="n">
        <v>45</v>
      </c>
      <c r="L8" s="20" t="s">
        <v>29</v>
      </c>
    </row>
    <row r="9" customFormat="false" ht="19.5" hidden="false" customHeight="true" outlineLevel="0" collapsed="false">
      <c r="A9" s="19" t="s">
        <v>30</v>
      </c>
      <c r="B9" s="19" t="s">
        <v>31</v>
      </c>
      <c r="C9" s="20" t="s">
        <v>15</v>
      </c>
      <c r="D9" s="21" t="n">
        <v>17</v>
      </c>
      <c r="E9" s="22" t="n">
        <v>257402</v>
      </c>
      <c r="F9" s="23" t="n">
        <v>55260</v>
      </c>
      <c r="G9" s="22" t="n">
        <f aca="false">D9*F9</f>
        <v>939420</v>
      </c>
      <c r="H9" s="22" t="n">
        <f aca="false">G9-D9*E9</f>
        <v>-3436414</v>
      </c>
      <c r="I9" s="24" t="n">
        <f aca="false">H9/(D9*E9)</f>
        <v>-0.785316353408287</v>
      </c>
      <c r="J9" s="19" t="s">
        <v>32</v>
      </c>
      <c r="K9" s="19" t="s">
        <v>32</v>
      </c>
      <c r="L9" s="20" t="s">
        <v>33</v>
      </c>
    </row>
    <row r="10" customFormat="false" ht="19.5" hidden="false" customHeight="true" outlineLevel="0" collapsed="false">
      <c r="A10" s="20" t="s">
        <v>34</v>
      </c>
      <c r="B10" s="19" t="s">
        <v>35</v>
      </c>
      <c r="C10" s="20" t="s">
        <v>21</v>
      </c>
      <c r="D10" s="21" t="n">
        <v>20</v>
      </c>
      <c r="E10" s="22" t="n">
        <v>18862</v>
      </c>
      <c r="F10" s="23" t="n">
        <v>2894</v>
      </c>
      <c r="G10" s="22" t="n">
        <f aca="false">D10*F10</f>
        <v>57880</v>
      </c>
      <c r="H10" s="22" t="n">
        <f aca="false">G10-D10*E10</f>
        <v>-319360</v>
      </c>
      <c r="I10" s="24" t="n">
        <f aca="false">H10/(D10*E10)</f>
        <v>-0.846569822924398</v>
      </c>
      <c r="J10" s="19" t="s">
        <v>32</v>
      </c>
      <c r="K10" s="19" t="s">
        <v>32</v>
      </c>
      <c r="L10" s="20" t="s">
        <v>29</v>
      </c>
    </row>
    <row r="11" customFormat="false" ht="15" hidden="false" customHeight="true" outlineLevel="0" collapsed="false">
      <c r="A11" s="26" t="s">
        <v>36</v>
      </c>
      <c r="B11" s="26"/>
      <c r="C11" s="26"/>
      <c r="D11" s="26"/>
      <c r="E11" s="26"/>
      <c r="F11" s="27"/>
      <c r="G11" s="28" t="n">
        <f aca="false">SUM(G3:G10)</f>
        <v>24306593.98</v>
      </c>
      <c r="H11" s="28" t="n">
        <f aca="false">SUM(H3:H10)</f>
        <v>-1850067.755</v>
      </c>
      <c r="I11" s="29" t="n">
        <f aca="false">H11/34253471</f>
        <v>-0.0540111031375478</v>
      </c>
      <c r="J11" s="27"/>
      <c r="K11" s="27"/>
      <c r="L11" s="27"/>
    </row>
    <row r="13" customFormat="false" ht="21.75" hidden="false" customHeight="true" outlineLevel="0" collapsed="false">
      <c r="A13" s="30" t="s">
        <v>37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</sheetData>
  <mergeCells count="3">
    <mergeCell ref="A1:L1"/>
    <mergeCell ref="A11:E11"/>
    <mergeCell ref="A13:L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8"/>
    <col collapsed="false" customWidth="true" hidden="false" outlineLevel="0" max="4" min="4" style="1" width="6"/>
    <col collapsed="false" customWidth="true" hidden="false" outlineLevel="0" max="5" min="5" style="1" width="12"/>
    <col collapsed="false" customWidth="true" hidden="false" outlineLevel="0" max="6" min="6" style="1" width="6"/>
    <col collapsed="false" customWidth="true" hidden="false" outlineLevel="0" max="7" min="7" style="1" width="12"/>
    <col collapsed="false" customWidth="true" hidden="false" outlineLevel="0" max="8" min="8" style="1" width="6"/>
    <col collapsed="false" customWidth="true" hidden="false" outlineLevel="0" max="11" min="9" style="1" width="10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2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21.75" hidden="false" customHeight="true" outlineLevel="0" collapsed="false">
      <c r="A2" s="3" t="s">
        <v>39</v>
      </c>
      <c r="B2" s="3" t="s">
        <v>40</v>
      </c>
      <c r="C2" s="3" t="s">
        <v>2</v>
      </c>
      <c r="D2" s="3" t="s">
        <v>3</v>
      </c>
      <c r="E2" s="31" t="s">
        <v>41</v>
      </c>
      <c r="F2" s="3" t="s">
        <v>42</v>
      </c>
      <c r="G2" s="3" t="s">
        <v>43</v>
      </c>
      <c r="H2" s="3" t="s">
        <v>44</v>
      </c>
      <c r="I2" s="3" t="s">
        <v>43</v>
      </c>
      <c r="J2" s="3" t="s">
        <v>45</v>
      </c>
      <c r="K2" s="3" t="s">
        <v>46</v>
      </c>
      <c r="L2" s="3" t="s">
        <v>47</v>
      </c>
      <c r="M2" s="32" t="s">
        <v>48</v>
      </c>
    </row>
    <row r="3" customFormat="false" ht="19.5" hidden="false" customHeight="true" outlineLevel="0" collapsed="false">
      <c r="A3" s="5" t="s">
        <v>49</v>
      </c>
      <c r="B3" s="5" t="s">
        <v>13</v>
      </c>
      <c r="C3" s="6" t="s">
        <v>14</v>
      </c>
      <c r="D3" s="5" t="s">
        <v>15</v>
      </c>
      <c r="E3" s="33" t="n">
        <v>233.6</v>
      </c>
      <c r="F3" s="11" t="n">
        <v>217</v>
      </c>
      <c r="G3" s="6" t="s">
        <v>50</v>
      </c>
      <c r="H3" s="11" t="n">
        <v>201</v>
      </c>
      <c r="I3" s="6" t="s">
        <v>50</v>
      </c>
      <c r="J3" s="11" t="n">
        <v>185</v>
      </c>
      <c r="K3" s="11" t="n">
        <v>260</v>
      </c>
      <c r="L3" s="11" t="n">
        <v>300</v>
      </c>
      <c r="M3" s="34" t="n">
        <f aca="false">(F3-E3)/E3</f>
        <v>-0.0710616438356164</v>
      </c>
    </row>
    <row r="4" customFormat="false" ht="19.5" hidden="false" customHeight="true" outlineLevel="0" collapsed="false">
      <c r="A4" s="5" t="s">
        <v>49</v>
      </c>
      <c r="B4" s="5" t="s">
        <v>17</v>
      </c>
      <c r="C4" s="6" t="s">
        <v>18</v>
      </c>
      <c r="D4" s="5" t="s">
        <v>15</v>
      </c>
      <c r="E4" s="33" t="n">
        <v>378</v>
      </c>
      <c r="F4" s="11" t="n">
        <v>340</v>
      </c>
      <c r="G4" s="6" t="s">
        <v>51</v>
      </c>
      <c r="H4" s="11" t="n">
        <v>310</v>
      </c>
      <c r="I4" s="6" t="s">
        <v>51</v>
      </c>
      <c r="J4" s="11" t="n">
        <v>290</v>
      </c>
      <c r="K4" s="11" t="n">
        <v>420</v>
      </c>
      <c r="L4" s="11" t="n">
        <v>500</v>
      </c>
      <c r="M4" s="34" t="n">
        <f aca="false">(F4-E4)/E4</f>
        <v>-0.100529100529101</v>
      </c>
    </row>
    <row r="5" customFormat="false" ht="19.5" hidden="false" customHeight="true" outlineLevel="0" collapsed="false">
      <c r="A5" s="5" t="s">
        <v>49</v>
      </c>
      <c r="B5" s="5" t="s">
        <v>19</v>
      </c>
      <c r="C5" s="6" t="s">
        <v>20</v>
      </c>
      <c r="D5" s="5" t="s">
        <v>21</v>
      </c>
      <c r="E5" s="35" t="n">
        <v>692000</v>
      </c>
      <c r="F5" s="8" t="n">
        <v>665000</v>
      </c>
      <c r="G5" s="6" t="s">
        <v>52</v>
      </c>
      <c r="H5" s="8" t="n">
        <v>635000</v>
      </c>
      <c r="I5" s="6" t="s">
        <v>52</v>
      </c>
      <c r="J5" s="8" t="n">
        <v>600000</v>
      </c>
      <c r="K5" s="8" t="n">
        <v>780000</v>
      </c>
      <c r="L5" s="8" t="n">
        <v>850000</v>
      </c>
      <c r="M5" s="34" t="n">
        <f aca="false">(F5-E5)/E5</f>
        <v>-0.0390173410404624</v>
      </c>
    </row>
    <row r="6" customFormat="false" ht="19.5" hidden="false" customHeight="true" outlineLevel="0" collapsed="false">
      <c r="A6" s="5" t="s">
        <v>49</v>
      </c>
      <c r="B6" s="6" t="s">
        <v>22</v>
      </c>
      <c r="C6" s="6" t="s">
        <v>23</v>
      </c>
      <c r="D6" s="5" t="s">
        <v>21</v>
      </c>
      <c r="E6" s="35" t="n">
        <v>1976000</v>
      </c>
      <c r="F6" s="8" t="n">
        <v>1800000</v>
      </c>
      <c r="G6" s="6" t="s">
        <v>53</v>
      </c>
      <c r="H6" s="6" t="s">
        <v>32</v>
      </c>
      <c r="I6" s="6" t="s">
        <v>32</v>
      </c>
      <c r="J6" s="8" t="n">
        <v>1600000</v>
      </c>
      <c r="K6" s="8" t="n">
        <v>2500000</v>
      </c>
      <c r="L6" s="8" t="n">
        <v>3000000</v>
      </c>
      <c r="M6" s="34" t="n">
        <f aca="false">(F6-E6)/E6</f>
        <v>-0.0890688259109312</v>
      </c>
    </row>
    <row r="7" customFormat="false" ht="19.5" hidden="false" customHeight="true" outlineLevel="0" collapsed="false">
      <c r="A7" s="5" t="s">
        <v>49</v>
      </c>
      <c r="B7" s="5" t="s">
        <v>24</v>
      </c>
      <c r="C7" s="6" t="s">
        <v>25</v>
      </c>
      <c r="D7" s="5" t="s">
        <v>15</v>
      </c>
      <c r="E7" s="33" t="n">
        <v>109</v>
      </c>
      <c r="F7" s="11" t="n">
        <v>104.5</v>
      </c>
      <c r="G7" s="6" t="s">
        <v>54</v>
      </c>
      <c r="H7" s="11" t="n">
        <v>99</v>
      </c>
      <c r="I7" s="6" t="s">
        <v>54</v>
      </c>
      <c r="J7" s="11" t="n">
        <v>95</v>
      </c>
      <c r="K7" s="11" t="n">
        <v>135</v>
      </c>
      <c r="L7" s="11" t="n">
        <v>150</v>
      </c>
      <c r="M7" s="34" t="n">
        <f aca="false">(F7-E7)/E7</f>
        <v>-0.0412844036697248</v>
      </c>
    </row>
    <row r="8" customFormat="false" ht="19.5" hidden="false" customHeight="true" outlineLevel="0" collapsed="false">
      <c r="A8" s="5" t="s">
        <v>49</v>
      </c>
      <c r="B8" s="6" t="s">
        <v>27</v>
      </c>
      <c r="C8" s="6" t="s">
        <v>28</v>
      </c>
      <c r="D8" s="5" t="s">
        <v>15</v>
      </c>
      <c r="E8" s="33" t="n">
        <v>74.81</v>
      </c>
      <c r="F8" s="11" t="n">
        <v>67</v>
      </c>
      <c r="G8" s="6" t="s">
        <v>52</v>
      </c>
      <c r="H8" s="11" t="n">
        <v>57</v>
      </c>
      <c r="I8" s="6" t="s">
        <v>52</v>
      </c>
      <c r="J8" s="11" t="n">
        <v>45</v>
      </c>
      <c r="K8" s="11" t="n">
        <v>100</v>
      </c>
      <c r="L8" s="11" t="n">
        <v>130</v>
      </c>
      <c r="M8" s="34" t="n">
        <f aca="false">(F8-E8)/E8</f>
        <v>-0.104397807779709</v>
      </c>
    </row>
    <row r="9" customFormat="false" ht="19.5" hidden="false" customHeight="true" outlineLevel="0" collapsed="false">
      <c r="A9" s="12" t="s">
        <v>55</v>
      </c>
      <c r="B9" s="12" t="s">
        <v>56</v>
      </c>
      <c r="C9" s="13" t="s">
        <v>57</v>
      </c>
      <c r="D9" s="12" t="s">
        <v>15</v>
      </c>
      <c r="E9" s="33" t="n">
        <v>778</v>
      </c>
      <c r="F9" s="18" t="n">
        <v>748</v>
      </c>
      <c r="G9" s="13" t="s">
        <v>53</v>
      </c>
      <c r="H9" s="18" t="n">
        <v>725</v>
      </c>
      <c r="I9" s="13" t="s">
        <v>53</v>
      </c>
      <c r="J9" s="18" t="n">
        <v>700</v>
      </c>
      <c r="K9" s="18" t="n">
        <v>850</v>
      </c>
      <c r="L9" s="18" t="n">
        <v>950</v>
      </c>
      <c r="M9" s="34" t="n">
        <f aca="false">(F9-E9)/E9</f>
        <v>-0.038560411311054</v>
      </c>
    </row>
    <row r="10" customFormat="false" ht="19.5" hidden="false" customHeight="true" outlineLevel="0" collapsed="false">
      <c r="A10" s="12" t="s">
        <v>55</v>
      </c>
      <c r="B10" s="12" t="s">
        <v>58</v>
      </c>
      <c r="C10" s="13" t="s">
        <v>59</v>
      </c>
      <c r="D10" s="12" t="s">
        <v>15</v>
      </c>
      <c r="E10" s="33" t="n">
        <v>439.79</v>
      </c>
      <c r="F10" s="18" t="n">
        <v>435</v>
      </c>
      <c r="G10" s="13" t="s">
        <v>53</v>
      </c>
      <c r="H10" s="18" t="n">
        <v>420</v>
      </c>
      <c r="I10" s="13" t="s">
        <v>53</v>
      </c>
      <c r="J10" s="18" t="n">
        <v>390</v>
      </c>
      <c r="K10" s="18" t="n">
        <v>500</v>
      </c>
      <c r="L10" s="18" t="n">
        <v>560</v>
      </c>
      <c r="M10" s="34" t="n">
        <f aca="false">(F10-E10)/E10</f>
        <v>-0.0108915618818073</v>
      </c>
    </row>
    <row r="11" customFormat="false" ht="19.5" hidden="false" customHeight="true" outlineLevel="0" collapsed="false">
      <c r="A11" s="12" t="s">
        <v>55</v>
      </c>
      <c r="B11" s="13" t="s">
        <v>60</v>
      </c>
      <c r="C11" s="13" t="s">
        <v>61</v>
      </c>
      <c r="D11" s="12" t="s">
        <v>15</v>
      </c>
      <c r="E11" s="36" t="s">
        <v>62</v>
      </c>
      <c r="F11" s="18" t="n">
        <v>183</v>
      </c>
      <c r="G11" s="13" t="s">
        <v>63</v>
      </c>
      <c r="H11" s="18" t="n">
        <v>175</v>
      </c>
      <c r="I11" s="13" t="s">
        <v>63</v>
      </c>
      <c r="J11" s="18" t="n">
        <v>165</v>
      </c>
      <c r="K11" s="18" t="n">
        <v>220</v>
      </c>
      <c r="L11" s="18" t="n">
        <v>250</v>
      </c>
      <c r="M11" s="0" t="s">
        <v>32</v>
      </c>
    </row>
    <row r="12" customFormat="false" ht="19.5" hidden="false" customHeight="true" outlineLevel="0" collapsed="false">
      <c r="A12" s="12" t="s">
        <v>55</v>
      </c>
      <c r="B12" s="13" t="s">
        <v>64</v>
      </c>
      <c r="C12" s="13" t="s">
        <v>64</v>
      </c>
      <c r="D12" s="12" t="s">
        <v>15</v>
      </c>
      <c r="E12" s="33" t="n">
        <v>447.5</v>
      </c>
      <c r="F12" s="18" t="n">
        <v>405</v>
      </c>
      <c r="G12" s="13" t="s">
        <v>65</v>
      </c>
      <c r="H12" s="18" t="n">
        <v>392</v>
      </c>
      <c r="I12" s="13" t="s">
        <v>65</v>
      </c>
      <c r="J12" s="18" t="n">
        <v>370</v>
      </c>
      <c r="K12" s="18" t="n">
        <v>500</v>
      </c>
      <c r="L12" s="18" t="n">
        <v>580</v>
      </c>
      <c r="M12" s="34" t="n">
        <f aca="false">(F12-E12)/E12</f>
        <v>-0.0949720670391061</v>
      </c>
    </row>
    <row r="13" customFormat="false" ht="15" hidden="false" customHeight="true" outlineLevel="0" collapsed="false">
      <c r="A13" s="27"/>
      <c r="B13" s="27"/>
      <c r="C13" s="27"/>
      <c r="D13" s="27"/>
      <c r="F13" s="27"/>
      <c r="G13" s="27"/>
      <c r="H13" s="27"/>
      <c r="I13" s="27"/>
      <c r="J13" s="27"/>
      <c r="K13" s="27"/>
      <c r="L13" s="27"/>
    </row>
    <row r="14" customFormat="false" ht="30" hidden="false" customHeight="true" outlineLevel="0" collapsed="false">
      <c r="A14" s="37" t="s">
        <v>66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</row>
  </sheetData>
  <mergeCells count="2">
    <mergeCell ref="A1:K1"/>
    <mergeCell ref="A14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5" min="4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2"/>
    <col collapsed="false" customWidth="true" hidden="false" outlineLevel="0" max="9" min="9" style="1" width="22"/>
  </cols>
  <sheetData>
    <row r="1" customFormat="false" ht="31.5" hidden="false" customHeight="true" outlineLevel="0" collapsed="false">
      <c r="A1" s="2" t="s">
        <v>67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40</v>
      </c>
      <c r="B2" s="3" t="s">
        <v>2</v>
      </c>
      <c r="C2" s="4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s">
        <v>74</v>
      </c>
    </row>
    <row r="3" customFormat="false" ht="21.75" hidden="false" customHeight="true" outlineLevel="0" collapsed="false">
      <c r="A3" s="38" t="s">
        <v>13</v>
      </c>
      <c r="B3" s="39" t="s">
        <v>14</v>
      </c>
      <c r="C3" s="40" t="s">
        <v>75</v>
      </c>
      <c r="D3" s="39" t="s">
        <v>76</v>
      </c>
      <c r="E3" s="39" t="s">
        <v>77</v>
      </c>
      <c r="F3" s="39" t="s">
        <v>78</v>
      </c>
      <c r="G3" s="38" t="s">
        <v>79</v>
      </c>
      <c r="H3" s="38" t="s">
        <v>80</v>
      </c>
      <c r="I3" s="39" t="s">
        <v>81</v>
      </c>
    </row>
    <row r="4" customFormat="false" ht="21.75" hidden="false" customHeight="true" outlineLevel="0" collapsed="false">
      <c r="A4" s="41" t="s">
        <v>17</v>
      </c>
      <c r="B4" s="42" t="s">
        <v>18</v>
      </c>
      <c r="C4" s="43" t="s">
        <v>82</v>
      </c>
      <c r="D4" s="42" t="s">
        <v>83</v>
      </c>
      <c r="E4" s="42" t="s">
        <v>84</v>
      </c>
      <c r="F4" s="42" t="s">
        <v>85</v>
      </c>
      <c r="G4" s="41" t="s">
        <v>86</v>
      </c>
      <c r="H4" s="41" t="s">
        <v>87</v>
      </c>
      <c r="I4" s="41" t="s">
        <v>88</v>
      </c>
    </row>
    <row r="5" customFormat="false" ht="21.75" hidden="false" customHeight="true" outlineLevel="0" collapsed="false">
      <c r="A5" s="38" t="s">
        <v>19</v>
      </c>
      <c r="B5" s="39" t="s">
        <v>20</v>
      </c>
      <c r="C5" s="40" t="s">
        <v>89</v>
      </c>
      <c r="D5" s="39" t="s">
        <v>90</v>
      </c>
      <c r="E5" s="39" t="s">
        <v>91</v>
      </c>
      <c r="F5" s="39" t="s">
        <v>92</v>
      </c>
      <c r="G5" s="38" t="s">
        <v>79</v>
      </c>
      <c r="H5" s="38" t="s">
        <v>80</v>
      </c>
      <c r="I5" s="38" t="s">
        <v>93</v>
      </c>
    </row>
    <row r="6" customFormat="false" ht="21.75" hidden="false" customHeight="true" outlineLevel="0" collapsed="false">
      <c r="A6" s="42" t="s">
        <v>22</v>
      </c>
      <c r="B6" s="42" t="s">
        <v>23</v>
      </c>
      <c r="C6" s="43" t="s">
        <v>94</v>
      </c>
      <c r="D6" s="42" t="s">
        <v>95</v>
      </c>
      <c r="E6" s="42" t="s">
        <v>96</v>
      </c>
      <c r="F6" s="42" t="s">
        <v>97</v>
      </c>
      <c r="G6" s="41" t="s">
        <v>86</v>
      </c>
      <c r="H6" s="41" t="s">
        <v>87</v>
      </c>
      <c r="I6" s="41" t="s">
        <v>98</v>
      </c>
    </row>
    <row r="7" customFormat="false" ht="21.75" hidden="false" customHeight="true" outlineLevel="0" collapsed="false">
      <c r="A7" s="38" t="s">
        <v>24</v>
      </c>
      <c r="B7" s="39" t="s">
        <v>25</v>
      </c>
      <c r="C7" s="40" t="s">
        <v>99</v>
      </c>
      <c r="D7" s="39" t="s">
        <v>100</v>
      </c>
      <c r="E7" s="39" t="s">
        <v>101</v>
      </c>
      <c r="F7" s="39" t="s">
        <v>102</v>
      </c>
      <c r="G7" s="38" t="s">
        <v>79</v>
      </c>
      <c r="H7" s="38" t="s">
        <v>80</v>
      </c>
      <c r="I7" s="39" t="s">
        <v>103</v>
      </c>
    </row>
    <row r="8" customFormat="false" ht="21.75" hidden="false" customHeight="true" outlineLevel="0" collapsed="false">
      <c r="A8" s="44" t="s">
        <v>27</v>
      </c>
      <c r="B8" s="44" t="s">
        <v>28</v>
      </c>
      <c r="C8" s="45" t="s">
        <v>104</v>
      </c>
      <c r="D8" s="44" t="s">
        <v>105</v>
      </c>
      <c r="E8" s="44" t="s">
        <v>106</v>
      </c>
      <c r="F8" s="44" t="s">
        <v>107</v>
      </c>
      <c r="G8" s="46" t="s">
        <v>108</v>
      </c>
      <c r="H8" s="46" t="s">
        <v>109</v>
      </c>
      <c r="I8" s="44" t="s">
        <v>110</v>
      </c>
    </row>
    <row r="9" customFormat="false" ht="21.75" hidden="false" customHeight="true" outlineLevel="0" collapsed="false">
      <c r="A9" s="42" t="s">
        <v>30</v>
      </c>
      <c r="B9" s="42" t="s">
        <v>31</v>
      </c>
      <c r="C9" s="47" t="s">
        <v>111</v>
      </c>
      <c r="D9" s="41" t="s">
        <v>112</v>
      </c>
      <c r="E9" s="42" t="s">
        <v>32</v>
      </c>
      <c r="F9" s="42" t="s">
        <v>32</v>
      </c>
      <c r="G9" s="41" t="s">
        <v>113</v>
      </c>
      <c r="H9" s="41" t="s">
        <v>87</v>
      </c>
      <c r="I9" s="41" t="s">
        <v>114</v>
      </c>
    </row>
    <row r="10" customFormat="false" ht="21.75" hidden="false" customHeight="true" outlineLevel="0" collapsed="false">
      <c r="A10" s="46" t="s">
        <v>56</v>
      </c>
      <c r="B10" s="44" t="s">
        <v>57</v>
      </c>
      <c r="C10" s="45" t="s">
        <v>115</v>
      </c>
      <c r="D10" s="44" t="s">
        <v>116</v>
      </c>
      <c r="E10" s="44" t="s">
        <v>117</v>
      </c>
      <c r="F10" s="44" t="s">
        <v>118</v>
      </c>
      <c r="G10" s="46" t="s">
        <v>108</v>
      </c>
      <c r="H10" s="46" t="s">
        <v>109</v>
      </c>
      <c r="I10" s="46" t="s">
        <v>119</v>
      </c>
    </row>
    <row r="11" customFormat="false" ht="21.75" hidden="false" customHeight="true" outlineLevel="0" collapsed="false">
      <c r="A11" s="46" t="s">
        <v>58</v>
      </c>
      <c r="B11" s="44" t="s">
        <v>59</v>
      </c>
      <c r="C11" s="45" t="s">
        <v>120</v>
      </c>
      <c r="D11" s="44" t="s">
        <v>121</v>
      </c>
      <c r="E11" s="44" t="s">
        <v>122</v>
      </c>
      <c r="F11" s="44" t="s">
        <v>123</v>
      </c>
      <c r="G11" s="46" t="s">
        <v>108</v>
      </c>
      <c r="H11" s="46" t="s">
        <v>124</v>
      </c>
      <c r="I11" s="46" t="s">
        <v>125</v>
      </c>
    </row>
    <row r="12" customFormat="false" ht="21.75" hidden="false" customHeight="true" outlineLevel="0" collapsed="false">
      <c r="A12" s="39" t="s">
        <v>60</v>
      </c>
      <c r="B12" s="39" t="s">
        <v>61</v>
      </c>
      <c r="C12" s="48" t="s">
        <v>126</v>
      </c>
      <c r="D12" s="39" t="s">
        <v>127</v>
      </c>
      <c r="E12" s="39" t="s">
        <v>128</v>
      </c>
      <c r="F12" s="39" t="s">
        <v>129</v>
      </c>
      <c r="G12" s="38" t="s">
        <v>79</v>
      </c>
      <c r="H12" s="38" t="s">
        <v>80</v>
      </c>
      <c r="I12" s="39" t="s">
        <v>130</v>
      </c>
    </row>
    <row r="13" customFormat="false" ht="21.75" hidden="false" customHeight="true" outlineLevel="0" collapsed="false">
      <c r="A13" s="39" t="s">
        <v>64</v>
      </c>
      <c r="B13" s="39" t="s">
        <v>64</v>
      </c>
      <c r="C13" s="40" t="s">
        <v>131</v>
      </c>
      <c r="D13" s="39" t="s">
        <v>132</v>
      </c>
      <c r="E13" s="39" t="s">
        <v>133</v>
      </c>
      <c r="F13" s="39" t="s">
        <v>123</v>
      </c>
      <c r="G13" s="38" t="s">
        <v>79</v>
      </c>
      <c r="H13" s="38" t="s">
        <v>80</v>
      </c>
      <c r="I13" s="38" t="s">
        <v>134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70"/>
  </cols>
  <sheetData>
    <row r="1" customFormat="false" ht="31.5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49"/>
      <c r="B2" s="50"/>
    </row>
    <row r="3" customFormat="false" ht="19.5" hidden="false" customHeight="true" outlineLevel="0" collapsed="false">
      <c r="A3" s="51" t="s">
        <v>136</v>
      </c>
      <c r="B3" s="52"/>
    </row>
    <row r="4" customFormat="false" ht="19.5" hidden="false" customHeight="true" outlineLevel="0" collapsed="false">
      <c r="A4" s="53" t="s">
        <v>137</v>
      </c>
      <c r="B4" s="50" t="s">
        <v>138</v>
      </c>
    </row>
    <row r="5" customFormat="false" ht="19.5" hidden="false" customHeight="true" outlineLevel="0" collapsed="false">
      <c r="A5" s="53" t="s">
        <v>139</v>
      </c>
      <c r="B5" s="54" t="s">
        <v>140</v>
      </c>
    </row>
    <row r="6" customFormat="false" ht="19.5" hidden="false" customHeight="true" outlineLevel="0" collapsed="false">
      <c r="A6" s="53" t="s">
        <v>141</v>
      </c>
      <c r="B6" s="54" t="s">
        <v>142</v>
      </c>
    </row>
    <row r="7" customFormat="false" ht="19.5" hidden="false" customHeight="true" outlineLevel="0" collapsed="false">
      <c r="A7" s="49"/>
      <c r="B7" s="54"/>
    </row>
    <row r="8" customFormat="false" ht="19.5" hidden="false" customHeight="true" outlineLevel="0" collapsed="false">
      <c r="A8" s="55" t="s">
        <v>143</v>
      </c>
      <c r="B8" s="56"/>
    </row>
    <row r="9" customFormat="false" ht="19.5" hidden="false" customHeight="true" outlineLevel="0" collapsed="false">
      <c r="A9" s="53" t="s">
        <v>144</v>
      </c>
      <c r="B9" s="54" t="s">
        <v>145</v>
      </c>
    </row>
    <row r="10" customFormat="false" ht="19.5" hidden="false" customHeight="true" outlineLevel="0" collapsed="false">
      <c r="A10" s="53" t="s">
        <v>146</v>
      </c>
      <c r="B10" s="54" t="s">
        <v>147</v>
      </c>
    </row>
    <row r="11" customFormat="false" ht="19.5" hidden="false" customHeight="true" outlineLevel="0" collapsed="false">
      <c r="A11" s="53" t="s">
        <v>148</v>
      </c>
      <c r="B11" s="50" t="s">
        <v>149</v>
      </c>
    </row>
    <row r="12" customFormat="false" ht="19.5" hidden="false" customHeight="true" outlineLevel="0" collapsed="false">
      <c r="A12" s="49"/>
      <c r="B12" s="54"/>
    </row>
    <row r="13" customFormat="false" ht="19.5" hidden="false" customHeight="true" outlineLevel="0" collapsed="false">
      <c r="A13" s="57" t="s">
        <v>150</v>
      </c>
      <c r="B13" s="58"/>
    </row>
    <row r="14" customFormat="false" ht="19.5" hidden="false" customHeight="true" outlineLevel="0" collapsed="false">
      <c r="A14" s="53" t="s">
        <v>151</v>
      </c>
      <c r="B14" s="54" t="s">
        <v>152</v>
      </c>
    </row>
    <row r="15" customFormat="false" ht="19.5" hidden="false" customHeight="true" outlineLevel="0" collapsed="false">
      <c r="A15" s="53" t="s">
        <v>153</v>
      </c>
      <c r="B15" s="50" t="s">
        <v>154</v>
      </c>
    </row>
    <row r="16" customFormat="false" ht="19.5" hidden="false" customHeight="true" outlineLevel="0" collapsed="false">
      <c r="A16" s="53" t="s">
        <v>155</v>
      </c>
      <c r="B16" s="50" t="s">
        <v>156</v>
      </c>
    </row>
    <row r="17" customFormat="false" ht="19.5" hidden="false" customHeight="true" outlineLevel="0" collapsed="false">
      <c r="A17" s="49"/>
      <c r="B17" s="54"/>
    </row>
    <row r="18" customFormat="false" ht="19.5" hidden="false" customHeight="true" outlineLevel="0" collapsed="false">
      <c r="A18" s="59" t="s">
        <v>157</v>
      </c>
      <c r="B18" s="60"/>
    </row>
    <row r="19" customFormat="false" ht="19.5" hidden="false" customHeight="true" outlineLevel="0" collapsed="false">
      <c r="A19" s="49" t="s">
        <v>158</v>
      </c>
      <c r="B19" s="54" t="s">
        <v>159</v>
      </c>
    </row>
    <row r="20" customFormat="false" ht="19.5" hidden="false" customHeight="true" outlineLevel="0" collapsed="false">
      <c r="A20" s="49" t="s">
        <v>160</v>
      </c>
      <c r="B20" s="54" t="s">
        <v>161</v>
      </c>
    </row>
    <row r="21" customFormat="false" ht="19.5" hidden="false" customHeight="true" outlineLevel="0" collapsed="false">
      <c r="A21" s="49" t="s">
        <v>162</v>
      </c>
      <c r="B21" s="54" t="s">
        <v>163</v>
      </c>
    </row>
    <row r="22" customFormat="false" ht="19.5" hidden="false" customHeight="true" outlineLevel="0" collapsed="false">
      <c r="A22" s="49" t="s">
        <v>164</v>
      </c>
      <c r="B22" s="61" t="s">
        <v>165</v>
      </c>
    </row>
    <row r="23" customFormat="false" ht="19.5" hidden="false" customHeight="true" outlineLevel="0" collapsed="false">
      <c r="A23" s="53" t="s">
        <v>166</v>
      </c>
      <c r="B23" s="50" t="s">
        <v>167</v>
      </c>
    </row>
    <row r="24" customFormat="false" ht="19.5" hidden="false" customHeight="true" outlineLevel="0" collapsed="false">
      <c r="A24" s="49"/>
      <c r="B24" s="54"/>
    </row>
    <row r="25" customFormat="false" ht="19.5" hidden="false" customHeight="true" outlineLevel="0" collapsed="false">
      <c r="A25" s="59" t="s">
        <v>168</v>
      </c>
      <c r="B25" s="60" t="s">
        <v>169</v>
      </c>
    </row>
    <row r="26" customFormat="false" ht="19.5" hidden="false" customHeight="true" outlineLevel="0" collapsed="false">
      <c r="A26" s="53" t="s">
        <v>170</v>
      </c>
      <c r="B26" s="54" t="s">
        <v>171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</cols>
  <sheetData>
    <row r="1" customFormat="false" ht="31.5" hidden="false" customHeight="true" outlineLevel="0" collapsed="false">
      <c r="A1" s="2" t="s">
        <v>172</v>
      </c>
      <c r="B1" s="2"/>
      <c r="C1" s="2"/>
      <c r="D1" s="2"/>
    </row>
    <row r="2" customFormat="false" ht="24" hidden="false" customHeight="true" outlineLevel="0" collapsed="false">
      <c r="A2" s="62" t="s">
        <v>173</v>
      </c>
      <c r="B2" s="63" t="n">
        <v>34253471</v>
      </c>
    </row>
    <row r="3" customFormat="false" ht="24" hidden="false" customHeight="true" outlineLevel="0" collapsed="false">
      <c r="A3" s="62" t="s">
        <v>174</v>
      </c>
      <c r="B3" s="63" t="n">
        <f aca="false">'1_보유종목현황'!G11</f>
        <v>24306593.98</v>
      </c>
    </row>
    <row r="4" customFormat="false" ht="24" hidden="false" customHeight="true" outlineLevel="0" collapsed="false">
      <c r="A4" s="62" t="s">
        <v>175</v>
      </c>
      <c r="B4" s="63" t="n">
        <f aca="false">'1_보유종목현황'!H11</f>
        <v>-1850067.755</v>
      </c>
    </row>
    <row r="5" customFormat="false" ht="24" hidden="false" customHeight="true" outlineLevel="0" collapsed="false">
      <c r="A5" s="62" t="s">
        <v>176</v>
      </c>
      <c r="B5" s="64" t="n">
        <f aca="false">B4/B2</f>
        <v>-0.0540111031375478</v>
      </c>
    </row>
    <row r="6" customFormat="false" ht="24" hidden="false" customHeight="true" outlineLevel="0" collapsed="false">
      <c r="A6" s="65" t="s">
        <v>177</v>
      </c>
      <c r="B6" s="66" t="n">
        <v>200000000</v>
      </c>
    </row>
    <row r="7" customFormat="false" ht="24" hidden="false" customHeight="true" outlineLevel="0" collapsed="false">
      <c r="A7" s="62" t="s">
        <v>178</v>
      </c>
      <c r="B7" s="63" t="n">
        <f aca="false">B6-B3</f>
        <v>175693406.02</v>
      </c>
    </row>
    <row r="8" customFormat="false" ht="24" hidden="false" customHeight="true" outlineLevel="0" collapsed="false">
      <c r="A8" s="65" t="s">
        <v>179</v>
      </c>
      <c r="B8" s="67" t="n">
        <f aca="false">B3/B6</f>
        <v>0.1215329699</v>
      </c>
    </row>
    <row r="9" customFormat="false" ht="24" hidden="false" customHeight="true" outlineLevel="0" collapsed="false">
      <c r="A9" s="62" t="s">
        <v>180</v>
      </c>
      <c r="B9" s="68" t="n">
        <f aca="false">(B6/B3)^(1/650)-1</f>
        <v>0.00324767722987462</v>
      </c>
    </row>
    <row r="10" customFormat="false" ht="24" hidden="false" customHeight="true" outlineLevel="0" collapsed="false">
      <c r="A10" s="62" t="s">
        <v>181</v>
      </c>
      <c r="B10" s="69" t="s">
        <v>182</v>
      </c>
    </row>
    <row r="11" customFormat="false" ht="24" hidden="false" customHeight="true" outlineLevel="0" collapsed="false">
      <c r="A11" s="62" t="s">
        <v>183</v>
      </c>
      <c r="B11" s="70" t="s">
        <v>184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8"/>
    <col collapsed="false" customWidth="true" hidden="false" outlineLevel="0" max="4" min="4" style="1" width="28"/>
    <col collapsed="false" customWidth="true" hidden="false" outlineLevel="0" max="6" min="5" style="1" width="16"/>
    <col collapsed="false" customWidth="true" hidden="false" outlineLevel="0" max="7" min="7" style="1" width="8"/>
  </cols>
  <sheetData>
    <row r="1" customFormat="false" ht="31.5" hidden="false" customHeight="true" outlineLevel="0" collapsed="false">
      <c r="A1" s="2" t="s">
        <v>185</v>
      </c>
      <c r="B1" s="2"/>
      <c r="C1" s="2"/>
      <c r="D1" s="2"/>
      <c r="E1" s="2"/>
      <c r="F1" s="2"/>
      <c r="G1" s="2"/>
    </row>
    <row r="2" customFormat="false" ht="15" hidden="false" customHeight="true" outlineLevel="0" collapsed="false">
      <c r="A2" s="3" t="s">
        <v>186</v>
      </c>
      <c r="B2" s="3" t="s">
        <v>187</v>
      </c>
      <c r="C2" s="3" t="s">
        <v>188</v>
      </c>
      <c r="D2" s="3" t="s">
        <v>189</v>
      </c>
      <c r="E2" s="3" t="s">
        <v>190</v>
      </c>
      <c r="F2" s="3" t="s">
        <v>191</v>
      </c>
      <c r="G2" s="3" t="s">
        <v>12</v>
      </c>
    </row>
    <row r="3" customFormat="false" ht="21.75" hidden="false" customHeight="true" outlineLevel="0" collapsed="false">
      <c r="A3" s="71" t="s">
        <v>192</v>
      </c>
      <c r="B3" s="72" t="s">
        <v>193</v>
      </c>
      <c r="C3" s="72" t="s">
        <v>194</v>
      </c>
      <c r="D3" s="72" t="s">
        <v>195</v>
      </c>
      <c r="E3" s="71" t="s">
        <v>196</v>
      </c>
      <c r="F3" s="72" t="s">
        <v>197</v>
      </c>
      <c r="G3" s="72" t="s">
        <v>198</v>
      </c>
    </row>
    <row r="4" customFormat="false" ht="21.75" hidden="false" customHeight="true" outlineLevel="0" collapsed="false">
      <c r="A4" s="71" t="s">
        <v>199</v>
      </c>
      <c r="B4" s="72" t="s">
        <v>200</v>
      </c>
      <c r="C4" s="72" t="s">
        <v>201</v>
      </c>
      <c r="D4" s="72" t="s">
        <v>202</v>
      </c>
      <c r="E4" s="71" t="s">
        <v>196</v>
      </c>
      <c r="F4" s="72" t="s">
        <v>197</v>
      </c>
      <c r="G4" s="72" t="s">
        <v>198</v>
      </c>
    </row>
    <row r="5" customFormat="false" ht="21.75" hidden="false" customHeight="true" outlineLevel="0" collapsed="false">
      <c r="A5" s="71" t="s">
        <v>203</v>
      </c>
      <c r="B5" s="72" t="s">
        <v>204</v>
      </c>
      <c r="C5" s="72" t="s">
        <v>201</v>
      </c>
      <c r="D5" s="72" t="s">
        <v>205</v>
      </c>
      <c r="E5" s="71" t="s">
        <v>196</v>
      </c>
      <c r="F5" s="72" t="s">
        <v>197</v>
      </c>
      <c r="G5" s="72" t="s">
        <v>198</v>
      </c>
    </row>
    <row r="6" customFormat="false" ht="21.75" hidden="false" customHeight="true" outlineLevel="0" collapsed="false">
      <c r="A6" s="71" t="s">
        <v>206</v>
      </c>
      <c r="B6" s="72" t="s">
        <v>207</v>
      </c>
      <c r="C6" s="72" t="s">
        <v>201</v>
      </c>
      <c r="D6" s="72" t="s">
        <v>208</v>
      </c>
      <c r="E6" s="71" t="s">
        <v>196</v>
      </c>
      <c r="F6" s="72" t="s">
        <v>197</v>
      </c>
      <c r="G6" s="72" t="s">
        <v>198</v>
      </c>
    </row>
    <row r="7" customFormat="false" ht="21.75" hidden="false" customHeight="true" outlineLevel="0" collapsed="false">
      <c r="A7" s="71" t="s">
        <v>209</v>
      </c>
      <c r="B7" s="72" t="s">
        <v>210</v>
      </c>
      <c r="C7" s="72" t="s">
        <v>194</v>
      </c>
      <c r="D7" s="72" t="s">
        <v>211</v>
      </c>
      <c r="E7" s="71" t="s">
        <v>196</v>
      </c>
      <c r="F7" s="72" t="s">
        <v>197</v>
      </c>
      <c r="G7" s="72" t="s">
        <v>198</v>
      </c>
    </row>
    <row r="8" customFormat="false" ht="21.75" hidden="false" customHeight="true" outlineLevel="0" collapsed="false">
      <c r="A8" s="71" t="s">
        <v>212</v>
      </c>
      <c r="B8" s="72" t="s">
        <v>213</v>
      </c>
      <c r="C8" s="72" t="s">
        <v>214</v>
      </c>
      <c r="D8" s="71" t="s">
        <v>215</v>
      </c>
      <c r="E8" s="71" t="s">
        <v>32</v>
      </c>
      <c r="F8" s="71" t="s">
        <v>32</v>
      </c>
      <c r="G8" s="72" t="s">
        <v>198</v>
      </c>
    </row>
    <row r="9" customFormat="false" ht="21.75" hidden="false" customHeight="true" outlineLevel="0" collapsed="false">
      <c r="A9" s="71" t="s">
        <v>216</v>
      </c>
      <c r="B9" s="72" t="s">
        <v>217</v>
      </c>
      <c r="C9" s="72" t="s">
        <v>194</v>
      </c>
      <c r="D9" s="72" t="s">
        <v>218</v>
      </c>
      <c r="E9" s="71" t="s">
        <v>32</v>
      </c>
      <c r="F9" s="71" t="s">
        <v>32</v>
      </c>
      <c r="G9" s="72" t="s">
        <v>198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6"/>
    <col collapsed="false" customWidth="true" hidden="false" outlineLevel="0" max="3" min="3" style="1" width="40"/>
  </cols>
  <sheetData>
    <row r="1" customFormat="false" ht="31.5" hidden="false" customHeight="true" outlineLevel="0" collapsed="false">
      <c r="A1" s="2" t="s">
        <v>219</v>
      </c>
      <c r="B1" s="2"/>
      <c r="C1" s="2"/>
      <c r="D1" s="2"/>
    </row>
    <row r="2" customFormat="false" ht="21.75" hidden="false" customHeight="true" outlineLevel="0" collapsed="false">
      <c r="A2" s="73" t="s">
        <v>39</v>
      </c>
      <c r="B2" s="73" t="s">
        <v>220</v>
      </c>
      <c r="C2" s="73" t="s">
        <v>221</v>
      </c>
    </row>
    <row r="3" customFormat="false" ht="21.75" hidden="false" customHeight="true" outlineLevel="0" collapsed="false">
      <c r="A3" s="74" t="s">
        <v>222</v>
      </c>
      <c r="B3" s="74" t="s">
        <v>223</v>
      </c>
      <c r="C3" s="74" t="s">
        <v>224</v>
      </c>
    </row>
    <row r="4" customFormat="false" ht="21.75" hidden="false" customHeight="true" outlineLevel="0" collapsed="false">
      <c r="A4" s="75" t="s">
        <v>225</v>
      </c>
      <c r="B4" s="75" t="s">
        <v>226</v>
      </c>
      <c r="C4" s="75" t="s">
        <v>227</v>
      </c>
    </row>
    <row r="5" customFormat="false" ht="21.75" hidden="false" customHeight="true" outlineLevel="0" collapsed="false">
      <c r="A5" s="74" t="s">
        <v>228</v>
      </c>
      <c r="B5" s="74" t="s">
        <v>229</v>
      </c>
      <c r="C5" s="74" t="s">
        <v>230</v>
      </c>
    </row>
    <row r="6" customFormat="false" ht="21.75" hidden="false" customHeight="true" outlineLevel="0" collapsed="false">
      <c r="A6" s="75" t="s">
        <v>231</v>
      </c>
      <c r="B6" s="75" t="s">
        <v>232</v>
      </c>
      <c r="C6" s="75" t="s">
        <v>233</v>
      </c>
    </row>
    <row r="7" customFormat="false" ht="21.75" hidden="false" customHeight="true" outlineLevel="0" collapsed="false">
      <c r="A7" s="74" t="s">
        <v>234</v>
      </c>
      <c r="B7" s="74" t="s">
        <v>235</v>
      </c>
      <c r="C7" s="74" t="s">
        <v>236</v>
      </c>
    </row>
    <row r="8" customFormat="false" ht="21.75" hidden="false" customHeight="true" outlineLevel="0" collapsed="false">
      <c r="A8" s="75" t="s">
        <v>237</v>
      </c>
      <c r="B8" s="76" t="s">
        <v>238</v>
      </c>
      <c r="C8" s="75" t="s">
        <v>239</v>
      </c>
    </row>
    <row r="9" customFormat="false" ht="21.75" hidden="false" customHeight="true" outlineLevel="0" collapsed="false">
      <c r="A9" s="74"/>
      <c r="B9" s="74"/>
      <c r="C9" s="74"/>
    </row>
    <row r="10" customFormat="false" ht="21.75" hidden="false" customHeight="true" outlineLevel="0" collapsed="false">
      <c r="A10" s="77" t="s">
        <v>240</v>
      </c>
      <c r="B10" s="77"/>
      <c r="C10" s="77"/>
    </row>
    <row r="11" customFormat="false" ht="21.75" hidden="false" customHeight="true" outlineLevel="0" collapsed="false">
      <c r="A11" s="74" t="s">
        <v>241</v>
      </c>
      <c r="B11" s="78" t="s">
        <v>242</v>
      </c>
      <c r="C11" s="74" t="s">
        <v>243</v>
      </c>
    </row>
    <row r="12" customFormat="false" ht="21.75" hidden="false" customHeight="true" outlineLevel="0" collapsed="false">
      <c r="A12" s="75" t="s">
        <v>244</v>
      </c>
      <c r="B12" s="75" t="s">
        <v>245</v>
      </c>
      <c r="C12" s="75" t="s">
        <v>246</v>
      </c>
    </row>
    <row r="13" customFormat="false" ht="21.75" hidden="false" customHeight="true" outlineLevel="0" collapsed="false">
      <c r="A13" s="74" t="s">
        <v>247</v>
      </c>
      <c r="B13" s="74" t="s">
        <v>248</v>
      </c>
      <c r="C13" s="74" t="s">
        <v>249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2026-05-15T08:37:59Z</dcterms:created>
  <dc:creator>openpyxl</dc:creator>
  <dc:description/>
  <dc:language>en-US</dc:language>
  <cp:lastModifiedBy/>
  <dcterms:modified xsi:type="dcterms:W3CDTF">2026-05-15T08:39:50Z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